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ogs05\Downloads\XLGantt_v4.7.0_20210530_Release_KOR-1\"/>
    </mc:Choice>
  </mc:AlternateContent>
  <xr:revisionPtr revIDLastSave="0" documentId="13_ncr:1_{1A10855B-B9E6-42FE-8129-B6171CF4E6A0}" xr6:coauthVersionLast="47" xr6:coauthVersionMax="47" xr10:uidLastSave="{00000000-0000-0000-0000-000000000000}"/>
  <bookViews>
    <workbookView xWindow="-120" yWindow="-120" windowWidth="29040" windowHeight="15990"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Schedule!$D$1:$AT$19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J5" i="2"/>
  <c r="AF6" i="2"/>
  <c r="AF7" i="2"/>
  <c r="AF8" i="2"/>
  <c r="AF9" i="2"/>
  <c r="AF10" i="2"/>
  <c r="AF11" i="2"/>
  <c r="AF12" i="2"/>
  <c r="AH13" i="2"/>
  <c r="AH14" i="2"/>
  <c r="AI15" i="2"/>
  <c r="AG16" i="2"/>
  <c r="AJ16" i="2"/>
  <c r="AG17" i="2"/>
  <c r="AG18" i="2"/>
  <c r="AJ18" i="2"/>
  <c r="AG19" i="2"/>
  <c r="AJ19"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<sst xmlns="http://schemas.openxmlformats.org/spreadsheetml/2006/main" count="3185" uniqueCount="1611">
  <si>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</si>
  <si>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</si>
  <si>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</si>
  <si>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</si>
  <si>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</si>
  <si>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</si>
  <si>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</si>
  <si>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</si>
  <si>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</si>
  <si>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</si>
  <si>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</si>
  <si>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</si>
  <si>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</si>
  <si>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</si>
  <si>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</si>
  <si>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</si>
  <si>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</si>
  <si>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</si>
  <si>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</si>
  <si>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</si>
  <si>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</si>
  <si>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</si>
  <si>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</si>
  <si>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</si>
  <si>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</si>
  <si>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</si>
  <si>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</si>
  <si>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</si>
  <si>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</si>
  <si>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</si>
  <si>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</si>
  <si>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</si>
  <si>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</si>
  <si>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</si>
  <si>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</si>
  <si>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</si>
  <si>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</si>
  <si>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</si>
  <si>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</si>
  <si>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</si>
  <si>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</si>
  <si>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</si>
  <si>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</si>
  <si>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</si>
  <si>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</si>
  <si>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</si>
  <si>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</si>
  <si>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</si>
  <si>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</si>
  <si>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</si>
  <si>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</si>
  <si>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</si>
  <si>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</si>
  <si>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</si>
  <si>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</si>
  <si>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</si>
  <si>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</si>
  <si>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</si>
  <si>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</si>
  <si>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</si>
  <si>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</si>
  <si>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</si>
  <si>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</si>
  <si>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</si>
  <si>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</si>
  <si>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</si>
  <si>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</si>
  <si>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</si>
  <si>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</si>
  <si>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</si>
  <si>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</si>
  <si>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</si>
  <si>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</si>
  <si>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</si>
  <si>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</si>
  <si>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</si>
  <si>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</si>
  <si>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</si>
  <si>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</si>
  <si>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</si>
  <si>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</si>
  <si>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</si>
  <si>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</si>
  <si>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</si>
  <si>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</si>
  <si>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</si>
  <si>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</si>
  <si>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</si>
  <si>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</si>
  <si>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</si>
  <si>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</si>
  <si>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</si>
  <si>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</si>
  <si>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</si>
  <si>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</si>
  <si>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</si>
  <si>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</si>
  <si>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</si>
  <si>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</si>
  <si>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</si>
  <si>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</si>
  <si>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</si>
  <si>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</si>
  <si>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</si>
  <si>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</si>
  <si>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</si>
  <si>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</si>
  <si>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</si>
  <si>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</si>
  <si>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</si>
  <si>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</si>
  <si>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</si>
  <si>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</si>
  <si>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</si>
  <si>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</si>
  <si>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</si>
  <si>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</si>
  <si>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</si>
  <si>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</si>
  <si>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</si>
  <si>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</si>
  <si>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</si>
  <si>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</si>
  <si>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</si>
  <si>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</si>
  <si>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</si>
  <si>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</si>
  <si>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</si>
  <si>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</si>
  <si>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</si>
  <si>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</si>
  <si>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</si>
  <si>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</si>
  <si>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</si>
  <si>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</si>
  <si>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</si>
  <si>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</si>
  <si>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</si>
  <si>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</si>
  <si>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</si>
  <si>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</si>
  <si>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</si>
  <si>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</si>
  <si>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</si>
  <si>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</si>
  <si>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</si>
  <si>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</si>
  <si>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</si>
  <si>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</si>
  <si>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</si>
  <si>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</si>
  <si>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</si>
  <si>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</si>
  <si>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</si>
  <si>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</si>
  <si>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</si>
  <si>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</si>
  <si>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</si>
  <si>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</si>
  <si>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</si>
  <si>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</si>
  <si>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</si>
  <si>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</si>
  <si>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</si>
  <si>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</si>
  <si>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</si>
  <si>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</si>
  <si>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</si>
  <si>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</si>
  <si>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</si>
  <si>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</si>
  <si>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</si>
  <si>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</si>
  <si>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</si>
  <si>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</si>
  <si>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</si>
  <si>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</si>
  <si>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</si>
  <si>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</si>
  <si>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</si>
  <si>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</si>
  <si>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</si>
  <si>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</si>
  <si>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</si>
  <si>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</si>
  <si>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</si>
  <si>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</si>
  <si>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</si>
  <si>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</si>
  <si>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</si>
  <si>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</si>
  <si>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</si>
  <si>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</si>
  <si>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</si>
  <si>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</si>
  <si>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</si>
  <si>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</si>
  <si>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</si>
  <si>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</si>
  <si>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</si>
  <si>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</si>
  <si>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</si>
  <si>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</si>
  <si>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</si>
  <si>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</si>
  <si>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</si>
  <si>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</si>
  <si>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</si>
  <si>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</si>
  <si>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</si>
  <si>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</si>
  <si>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</si>
  <si>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</si>
  <si>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</si>
  <si>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</si>
  <si>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</si>
  <si>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</si>
  <si>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</si>
  <si>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</si>
  <si>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</si>
  <si>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</si>
  <si>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</si>
  <si>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</si>
  <si>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</si>
  <si>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</si>
  <si>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</si>
  <si>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</si>
  <si>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</si>
  <si>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</si>
  <si>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</si>
  <si>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</si>
  <si>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</si>
  <si>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</si>
  <si>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</si>
  <si>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</si>
  <si>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</si>
  <si>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</si>
  <si>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</si>
  <si>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</si>
  <si>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</si>
  <si>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</si>
  <si>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</si>
  <si>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</si>
  <si>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</si>
  <si>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</si>
  <si>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</si>
  <si>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</si>
  <si>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</si>
  <si>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</si>
  <si>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</si>
  <si>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</si>
  <si>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</si>
  <si>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</si>
  <si>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</si>
  <si>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</si>
  <si>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</si>
  <si>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</si>
  <si>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</si>
  <si>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</si>
  <si>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</si>
  <si>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</si>
  <si>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</si>
  <si>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</si>
  <si>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</si>
  <si>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</si>
  <si>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</si>
  <si>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</si>
  <si>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</si>
  <si>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</si>
  <si>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</si>
  <si>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</si>
  <si>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</si>
  <si>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</si>
  <si>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</si>
  <si>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</si>
  <si>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</si>
  <si>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</si>
  <si>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</si>
  <si>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</si>
  <si>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</si>
  <si>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</si>
  <si>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</si>
  <si>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</si>
  <si>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</si>
  <si>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</si>
  <si>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</si>
  <si>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</si>
  <si>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</si>
  <si>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</si>
  <si>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</si>
  <si>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</si>
  <si>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</si>
  <si>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</si>
  <si>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</si>
  <si>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</si>
  <si>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</si>
  <si>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</si>
  <si>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</si>
  <si>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</si>
  <si>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</si>
  <si>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</si>
  <si>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</si>
  <si>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</si>
  <si>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</si>
  <si>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</si>
  <si>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</si>
  <si>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</si>
  <si>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</si>
  <si>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</si>
  <si>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</si>
  <si>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</si>
  <si>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</si>
  <si>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</si>
  <si>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</si>
  <si>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</si>
  <si>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</si>
  <si>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</si>
  <si>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</si>
  <si>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</si>
  <si>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</si>
  <si>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</si>
  <si>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</si>
  <si>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</si>
  <si>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</si>
  <si>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</si>
  <si>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</si>
  <si>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</si>
  <si>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</si>
  <si>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</si>
  <si>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</si>
  <si>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</si>
  <si>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</si>
  <si>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</si>
  <si>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</si>
  <si>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</si>
  <si>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</si>
  <si>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</si>
  <si>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</si>
  <si>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</si>
  <si>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</si>
  <si>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</si>
  <si>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</si>
  <si>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</si>
  <si>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</si>
  <si>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</si>
  <si>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</si>
  <si>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</si>
  <si>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</si>
  <si>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</si>
  <si>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</si>
  <si>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</si>
  <si>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</si>
  <si>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</si>
  <si>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</si>
  <si>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</si>
  <si>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</si>
  <si>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</si>
  <si>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</si>
  <si>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</si>
  <si>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</si>
  <si>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</si>
  <si>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</si>
  <si>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</si>
  <si>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</si>
  <si>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</si>
  <si>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</si>
  <si>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</si>
  <si>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</si>
  <si>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</si>
  <si>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</si>
  <si>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</si>
  <si>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</si>
  <si>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</si>
  <si>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</si>
  <si>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</si>
  <si>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</si>
  <si>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</si>
  <si>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</si>
  <si>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</si>
  <si>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</si>
  <si>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</si>
  <si>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</si>
  <si>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</si>
  <si>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</si>
  <si>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</si>
  <si>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</si>
  <si>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</si>
  <si>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</si>
  <si>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</si>
  <si>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</si>
  <si>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</si>
  <si>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</si>
  <si>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</si>
  <si>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</si>
  <si>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</si>
  <si>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</si>
  <si>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</si>
  <si>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</si>
  <si>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</si>
  <si>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</si>
  <si>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</si>
  <si>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</si>
  <si>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</si>
  <si>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</si>
  <si>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</si>
  <si>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</si>
  <si>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</si>
  <si>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</si>
  <si>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</si>
  <si>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</si>
  <si>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</si>
  <si>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</si>
  <si>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</si>
  <si>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</si>
  <si>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</si>
  <si>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</si>
  <si>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</si>
  <si>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</si>
  <si>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</si>
  <si>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</si>
  <si>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</si>
  <si>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</si>
  <si>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</si>
  <si>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</si>
  <si>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</si>
  <si>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</si>
  <si>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</si>
  <si>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</si>
  <si>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</si>
  <si>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</si>
  <si>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</si>
  <si>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</si>
  <si>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</si>
  <si>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</si>
  <si>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</si>
  <si>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</si>
  <si>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</si>
  <si>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</si>
  <si>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</si>
  <si>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</si>
  <si>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</si>
  <si>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</si>
  <si>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</si>
  <si>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</si>
  <si>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</si>
  <si>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</si>
  <si>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</si>
  <si>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</si>
  <si>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</si>
  <si>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</si>
  <si>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</si>
  <si>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</si>
  <si>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</si>
  <si>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</si>
  <si>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</si>
  <si>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</si>
  <si>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</si>
  <si>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</si>
  <si>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</si>
  <si>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</si>
  <si>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</si>
  <si>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</si>
  <si>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</si>
  <si>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</si>
  <si>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</si>
  <si>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</si>
  <si>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</si>
  <si>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</si>
  <si>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</si>
  <si>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</si>
  <si>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</si>
  <si>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</si>
  <si>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</si>
  <si>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</si>
  <si>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</si>
  <si>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</si>
  <si>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</si>
  <si>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</si>
  <si>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</si>
  <si>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</si>
  <si>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</si>
  <si>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</si>
  <si>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</si>
  <si>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</si>
  <si>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</si>
  <si>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</si>
  <si>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</si>
  <si>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</si>
  <si>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</si>
  <si>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</si>
  <si>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</si>
  <si>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</si>
  <si>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</si>
  <si>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</si>
  <si>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</si>
  <si>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</si>
  <si>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</si>
  <si>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</si>
  <si>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</si>
  <si>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</si>
  <si>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</si>
  <si>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</si>
  <si>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</si>
  <si>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</si>
  <si>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</si>
  <si>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</si>
  <si>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</si>
  <si>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</si>
  <si>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</si>
  <si>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</si>
  <si>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</si>
  <si>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</si>
  <si>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</si>
  <si>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</si>
  <si>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</si>
  <si>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</si>
  <si>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</si>
  <si>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</si>
  <si>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</si>
  <si>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</si>
  <si>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</si>
  <si>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</si>
  <si>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</si>
  <si>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</si>
  <si>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</si>
  <si>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</si>
  <si>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</si>
  <si>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</si>
  <si>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</si>
  <si>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</si>
  <si>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</si>
  <si>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</si>
  <si>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</si>
  <si>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</si>
  <si>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</si>
  <si>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</si>
  <si>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</si>
  <si>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</si>
  <si>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</si>
  <si>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</si>
  <si>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</si>
  <si>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</si>
  <si>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</si>
  <si>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</si>
  <si>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</si>
  <si>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</si>
  <si>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</si>
  <si>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</si>
  <si>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</si>
  <si>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</si>
  <si>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</si>
  <si>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</si>
  <si>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</si>
  <si>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</si>
  <si>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</si>
  <si>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</si>
  <si>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</si>
  <si>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</si>
  <si>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</si>
  <si>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</si>
  <si>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</si>
  <si>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</si>
  <si>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</si>
  <si>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</si>
  <si>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</si>
  <si>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</si>
  <si>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</si>
  <si>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</si>
  <si>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</si>
  <si>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</si>
  <si>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</si>
  <si>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</si>
  <si>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</si>
  <si>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</si>
  <si>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</si>
  <si>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</si>
  <si>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</si>
  <si>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</si>
  <si>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</si>
  <si>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</si>
  <si>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</si>
  <si>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</si>
  <si>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</si>
  <si>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</si>
  <si>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</si>
  <si>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</si>
  <si>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</si>
  <si>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</si>
  <si>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</si>
  <si>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</si>
  <si>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</si>
  <si>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</si>
  <si>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</si>
  <si>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</si>
  <si>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</si>
  <si>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</si>
  <si>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</si>
  <si>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</si>
  <si>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</si>
  <si>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</si>
  <si>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</si>
  <si>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</si>
  <si>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</si>
  <si>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</si>
  <si>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</si>
  <si>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</si>
  <si>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</si>
  <si>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</si>
  <si>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</si>
  <si>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</si>
  <si>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</si>
  <si>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</si>
  <si>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</si>
  <si>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</si>
  <si>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</si>
  <si>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</si>
  <si>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</si>
  <si>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</si>
  <si>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</si>
  <si>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</si>
  <si>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</si>
  <si>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</si>
  <si>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</si>
  <si>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</si>
  <si>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</si>
  <si>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</si>
  <si>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</si>
  <si>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</si>
  <si>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</si>
  <si>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</si>
  <si>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</si>
  <si>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</si>
  <si>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</si>
  <si>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</si>
  <si>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</si>
  <si>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</si>
  <si>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</si>
  <si>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</si>
  <si>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</si>
  <si>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</si>
  <si>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</si>
  <si>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</si>
  <si>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</si>
  <si>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</si>
  <si>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</si>
  <si>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</si>
  <si>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</si>
  <si>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</si>
  <si>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</si>
  <si>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</si>
  <si>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</si>
  <si>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</si>
  <si>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</si>
  <si>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</si>
  <si>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</si>
  <si>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</si>
  <si>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</si>
  <si>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</si>
  <si>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</si>
  <si>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</si>
  <si>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</si>
  <si>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</si>
  <si>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</si>
  <si>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</si>
  <si>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</si>
  <si>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</si>
  <si>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</si>
  <si>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</si>
  <si>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</si>
  <si>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</si>
  <si>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</si>
  <si>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</si>
  <si>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</si>
  <si>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</si>
  <si>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</si>
  <si>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</si>
  <si>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</si>
  <si>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</si>
  <si>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</si>
  <si>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</si>
  <si>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</si>
  <si>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</si>
  <si>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</si>
  <si>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</si>
  <si>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</si>
  <si>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</si>
  <si>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</si>
  <si>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</si>
  <si>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</si>
  <si>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</si>
  <si>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</si>
  <si>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</si>
  <si>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</si>
  <si>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</si>
  <si>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</si>
  <si>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</si>
  <si>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</si>
  <si>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</si>
  <si>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</si>
  <si>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</si>
  <si>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</si>
  <si>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</si>
  <si>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</si>
  <si>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</si>
  <si>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</si>
  <si>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</si>
  <si>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</si>
  <si>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</si>
  <si>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</si>
  <si>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</si>
  <si>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</si>
  <si>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</si>
  <si>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</si>
  <si>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</si>
  <si>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</si>
  <si>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</si>
  <si>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</si>
  <si>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</si>
  <si>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</si>
  <si>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</si>
  <si>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</si>
  <si>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</si>
  <si>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</si>
  <si>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</si>
  <si>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</si>
  <si>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</si>
  <si>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</si>
  <si>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</si>
  <si>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</si>
  <si>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</si>
  <si>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</si>
  <si>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</si>
  <si>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</si>
  <si>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</si>
  <si>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</si>
  <si>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</si>
  <si>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</si>
  <si>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</si>
  <si>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</si>
  <si>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</si>
  <si>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</si>
  <si>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</si>
  <si>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</si>
  <si>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</si>
  <si>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</si>
  <si>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</si>
  <si>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</si>
  <si>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</si>
  <si>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</si>
  <si>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</si>
  <si>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</si>
  <si>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</si>
  <si>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</si>
  <si>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</si>
  <si>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</si>
  <si>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</si>
  <si>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</si>
  <si>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</si>
  <si>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</si>
  <si>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</si>
  <si>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</si>
  <si>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</si>
  <si>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</si>
  <si>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</si>
  <si>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</si>
  <si>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</si>
  <si>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</si>
  <si>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</si>
  <si>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</si>
  <si>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</si>
  <si>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</si>
  <si>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</si>
  <si>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</si>
  <si>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</si>
  <si>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</si>
  <si>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</si>
  <si>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</si>
  <si>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</si>
  <si>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</si>
  <si>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</si>
  <si>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</si>
  <si>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</si>
  <si>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</si>
  <si>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</si>
  <si>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</si>
  <si>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</si>
  <si>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</si>
  <si>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</si>
  <si>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</si>
  <si>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</si>
  <si>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</si>
  <si>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</si>
  <si>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</si>
  <si>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</si>
  <si>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</si>
  <si>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</si>
  <si>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</si>
  <si>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</si>
  <si>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</si>
  <si>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</si>
  <si>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</si>
  <si>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</si>
  <si>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</si>
  <si>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</si>
  <si>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</si>
  <si>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</si>
  <si>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</si>
  <si>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</si>
  <si>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</si>
  <si>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</si>
  <si>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</si>
  <si>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</si>
  <si>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</si>
  <si>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</si>
  <si>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</si>
  <si>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</si>
  <si>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</si>
  <si>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</si>
  <si>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</si>
  <si>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</si>
  <si>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</si>
  <si>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</si>
  <si>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</si>
  <si>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</si>
  <si>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</si>
  <si>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</si>
  <si>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</si>
  <si>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</si>
  <si>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</si>
  <si>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</si>
  <si>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</si>
  <si>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</si>
  <si>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</si>
  <si>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</si>
  <si>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</si>
  <si>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</si>
  <si>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</si>
  <si>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</si>
  <si>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</si>
  <si>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</si>
  <si>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</si>
  <si>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</si>
  <si>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</si>
  <si>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</si>
  <si>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</si>
  <si>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</si>
  <si>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</si>
  <si>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</si>
  <si>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</si>
  <si>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</si>
  <si>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</si>
  <si>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</si>
  <si>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</si>
  <si>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</si>
  <si>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</si>
  <si>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</si>
  <si>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</si>
  <si>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</si>
  <si>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</si>
  <si>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</si>
  <si>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</si>
  <si>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</si>
  <si>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</si>
  <si>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</si>
  <si>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</si>
  <si>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</si>
  <si>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</si>
  <si>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</si>
  <si>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</si>
  <si>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</si>
  <si>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</si>
  <si>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</si>
  <si>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</si>
  <si>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</si>
  <si>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</si>
  <si>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</si>
  <si>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</si>
  <si>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</si>
  <si>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</si>
  <si>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</si>
  <si>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</si>
  <si>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</si>
  <si>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</si>
  <si>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</si>
  <si>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</si>
  <si>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</si>
  <si>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</si>
  <si>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</si>
  <si>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</si>
  <si>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</si>
  <si>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</si>
  <si>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</si>
  <si>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</si>
  <si>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</si>
  <si>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</si>
  <si>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</si>
  <si>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</si>
  <si>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</si>
  <si>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</si>
  <si>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</si>
  <si>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</si>
  <si>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</si>
  <si>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</si>
  <si>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</si>
  <si>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</si>
  <si>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</si>
  <si>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</si>
  <si>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</si>
  <si>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</si>
  <si>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</si>
  <si>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</si>
  <si>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</si>
  <si>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</si>
  <si>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</si>
  <si>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</si>
  <si>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</si>
  <si>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</si>
  <si>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</si>
  <si>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</si>
  <si>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</si>
  <si>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</si>
  <si>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</si>
  <si>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</si>
  <si>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</si>
  <si>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</si>
  <si>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</si>
  <si>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</si>
  <si>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</si>
  <si>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</si>
  <si>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</si>
  <si>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</si>
  <si>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</si>
  <si>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</si>
  <si>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</si>
  <si>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</si>
  <si>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</si>
  <si>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</si>
  <si>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</si>
  <si>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</si>
  <si>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</si>
  <si>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</si>
  <si>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</si>
  <si>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</si>
  <si>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</si>
  <si>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</si>
  <si>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</si>
  <si>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</si>
  <si>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</si>
  <si>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</si>
  <si>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</si>
  <si>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</si>
  <si>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</si>
  <si>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</si>
  <si>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</si>
  <si>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</si>
  <si>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</si>
  <si>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</si>
  <si>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</si>
  <si>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</si>
  <si>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</si>
  <si>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</si>
  <si>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</si>
  <si>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</si>
  <si>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</si>
  <si>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</si>
  <si>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</si>
  <si>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</si>
  <si>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</si>
  <si>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</si>
  <si>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</si>
  <si>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</si>
  <si>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</si>
  <si>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</si>
  <si>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</si>
  <si>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</si>
  <si>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</si>
  <si>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</si>
  <si>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</si>
  <si>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</si>
  <si>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</si>
  <si>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</si>
  <si>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</si>
  <si>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</si>
  <si>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</si>
  <si>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</si>
  <si>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</si>
  <si>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</si>
  <si>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</si>
  <si>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</si>
  <si>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</si>
  <si>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</si>
  <si>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</si>
  <si>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</si>
  <si>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</si>
  <si>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</si>
  <si>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</si>
  <si>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</si>
  <si>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</si>
  <si>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</si>
  <si>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</si>
  <si>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</si>
  <si>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</si>
  <si>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</si>
  <si>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</si>
  <si>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</si>
  <si>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</si>
  <si>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</si>
  <si>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</si>
  <si>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</si>
  <si>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</si>
  <si>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</si>
  <si>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</si>
  <si>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</si>
  <si>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</si>
  <si>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</si>
  <si>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</si>
  <si>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</si>
  <si>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</si>
  <si>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</si>
  <si>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</si>
  <si>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</si>
  <si>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</si>
  <si>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</si>
  <si>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</si>
  <si>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</si>
  <si>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</si>
  <si>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</si>
  <si>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</si>
  <si>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</si>
  <si>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</si>
  <si>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</si>
  <si>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</si>
  <si>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</si>
  <si>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</si>
  <si>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</si>
  <si>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</si>
  <si>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</si>
  <si>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</si>
  <si>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</si>
  <si>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</si>
  <si>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</si>
  <si>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</si>
  <si>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</si>
  <si>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</si>
  <si>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</si>
  <si>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</si>
  <si>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</si>
  <si>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</si>
  <si>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</si>
  <si>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</si>
  <si>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</si>
  <si>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</si>
  <si>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</si>
  <si>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</si>
  <si>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</si>
  <si>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</si>
  <si>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</si>
  <si>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</si>
  <si>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</si>
  <si>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</si>
  <si>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</si>
  <si>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</si>
  <si>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</si>
  <si>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</si>
  <si>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</si>
  <si>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</si>
  <si>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</si>
  <si>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</si>
  <si>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</si>
  <si>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</si>
  <si>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</si>
  <si>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</si>
  <si>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</si>
  <si>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</si>
  <si>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</si>
  <si>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</si>
  <si>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</si>
  <si>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</si>
  <si>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</si>
  <si>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</si>
  <si>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</si>
  <si>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</si>
  <si>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</si>
  <si>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</si>
  <si>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</si>
  <si>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</si>
  <si>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</si>
  <si>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</si>
  <si>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</si>
  <si>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</si>
  <si>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</si>
  <si>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</si>
  <si>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</si>
  <si>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</si>
  <si>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</si>
  <si>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</si>
  <si>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</si>
  <si>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</si>
  <si>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</si>
  <si>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</si>
  <si>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</si>
  <si>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</si>
  <si>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</si>
  <si>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</si>
  <si>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</si>
  <si>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</si>
  <si>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</si>
  <si>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</si>
  <si>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</si>
  <si>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</si>
  <si>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</si>
  <si>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</si>
  <si>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</si>
  <si>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</si>
  <si>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</si>
  <si>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</si>
  <si>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</si>
  <si>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</si>
  <si>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</si>
  <si>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</si>
  <si>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</si>
  <si>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</si>
  <si>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</si>
  <si>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</si>
  <si>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</si>
  <si>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</si>
  <si>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</si>
  <si>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</si>
  <si>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</si>
  <si>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</si>
  <si>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</si>
  <si>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</si>
  <si>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</si>
  <si>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</si>
  <si>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</si>
  <si>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</si>
  <si>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</si>
  <si>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</si>
  <si>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</si>
  <si>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</si>
  <si>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</si>
  <si>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</si>
  <si>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</si>
  <si>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</si>
  <si>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</si>
  <si>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</si>
  <si>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</si>
  <si>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</si>
  <si>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</si>
  <si>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</si>
  <si>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</si>
  <si>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</si>
  <si>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</si>
  <si>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</si>
  <si>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</si>
  <si>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</si>
  <si>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</si>
  <si>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</si>
  <si>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</si>
  <si>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</si>
  <si>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</si>
  <si>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</si>
  <si>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</si>
  <si>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</si>
  <si>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</si>
  <si>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</si>
  <si>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</si>
  <si>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</si>
  <si>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</si>
  <si>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</si>
  <si>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</si>
  <si>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</si>
  <si>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</si>
  <si>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</si>
  <si>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</si>
  <si>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</si>
  <si>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</si>
  <si>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</si>
  <si>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</si>
  <si>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</si>
  <si>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</si>
  <si>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</si>
  <si>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</si>
  <si>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</si>
  <si>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</si>
  <si>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</si>
  <si>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</si>
  <si>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</si>
  <si>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</si>
  <si>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</si>
  <si>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</si>
  <si>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</si>
  <si>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</si>
  <si>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</si>
  <si>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</si>
  <si>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</si>
  <si>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</si>
  <si>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</si>
  <si>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</si>
  <si>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</si>
  <si>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</si>
  <si>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</si>
  <si>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</si>
  <si>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</si>
  <si>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</si>
  <si>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</si>
  <si>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</si>
  <si>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</si>
  <si>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</si>
  <si>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</si>
  <si>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</si>
  <si>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</si>
  <si>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</si>
  <si>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</si>
  <si>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</si>
  <si>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</si>
  <si>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</si>
  <si>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</si>
  <si>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</si>
  <si>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</si>
  <si>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</si>
  <si>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</si>
  <si>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</si>
  <si>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</si>
  <si>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</si>
  <si>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</si>
  <si>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</si>
  <si>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</si>
  <si>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</si>
  <si>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</si>
  <si>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</si>
  <si>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</si>
  <si>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</si>
  <si>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</si>
  <si>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</si>
  <si>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</si>
  <si>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</si>
  <si>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</si>
  <si>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</si>
  <si>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</si>
  <si>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</si>
  <si>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</si>
  <si>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</si>
  <si>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</si>
  <si>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</si>
  <si>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</si>
  <si>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</si>
  <si>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</si>
  <si>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</si>
  <si>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</si>
  <si>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</si>
  <si>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</si>
  <si>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</si>
  <si>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</si>
  <si>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</si>
  <si>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</si>
  <si>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</si>
  <si>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</si>
  <si>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</si>
  <si>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</si>
  <si>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</si>
  <si>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</si>
  <si>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</si>
  <si>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</si>
  <si>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</si>
  <si>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</si>
  <si>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</si>
  <si>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</si>
  <si>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</si>
  <si>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</si>
  <si>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</si>
  <si>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</si>
  <si>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</si>
  <si>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</si>
  <si>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</si>
  <si>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</si>
  <si>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</si>
  <si>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</si>
  <si>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</si>
  <si>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</si>
  <si>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</si>
  <si>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</si>
  <si>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</si>
  <si>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</si>
  <si>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</si>
  <si>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</si>
  <si>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</si>
  <si>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</si>
  <si>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</si>
  <si>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</si>
  <si>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</si>
  <si>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</si>
  <si>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</si>
  <si>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</si>
  <si>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</si>
  <si>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</si>
  <si>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</si>
  <si>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</si>
  <si>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</si>
  <si>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</si>
  <si>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</si>
  <si>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</si>
  <si>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</si>
  <si>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</si>
  <si>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</si>
  <si>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</si>
  <si>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</si>
  <si>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</si>
  <si>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</si>
  <si>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</si>
  <si>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</si>
  <si>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</si>
  <si>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</si>
  <si>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</si>
  <si>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</si>
  <si>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</si>
  <si>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</si>
  <si>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</si>
  <si>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</si>
  <si>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</si>
  <si>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</si>
  <si>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</si>
  <si>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</si>
  <si>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</si>
  <si>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</si>
  <si>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</si>
  <si>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</si>
  <si>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</si>
  <si>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</si>
  <si>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</si>
  <si>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</si>
  <si>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</si>
  <si>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</si>
  <si>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</si>
  <si>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</si>
  <si>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</si>
  <si>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</si>
  <si>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</si>
  <si>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</si>
  <si>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</si>
  <si>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</si>
  <si>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</si>
  <si>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</si>
  <si>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</si>
  <si>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</si>
  <si>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</si>
  <si>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</si>
  <si>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</si>
  <si>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</si>
  <si>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</si>
  <si>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</si>
  <si>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</si>
  <si>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</si>
  <si>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</si>
  <si>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</si>
  <si>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</si>
  <si>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</si>
  <si>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</si>
  <si>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</si>
  <si>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</si>
  <si>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</si>
  <si>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</si>
  <si>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</si>
  <si>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</si>
  <si>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</si>
  <si>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</si>
  <si>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</si>
  <si>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</si>
  <si>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</si>
  <si>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</si>
  <si>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</si>
  <si>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</si>
  <si>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</si>
  <si>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</si>
  <si>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</si>
  <si>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</si>
  <si>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</si>
  <si>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</si>
  <si>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</si>
  <si>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</si>
  <si>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</si>
  <si>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</si>
  <si>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</si>
  <si>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</si>
  <si>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</si>
  <si>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</si>
  <si>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</si>
  <si>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</si>
  <si>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</si>
  <si>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</si>
  <si>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</si>
  <si>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</si>
  <si>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</si>
  <si>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</si>
  <si>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</si>
  <si>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</si>
  <si>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</si>
  <si>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</si>
  <si>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</si>
  <si>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</si>
  <si>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</si>
  <si>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</si>
  <si>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</si>
  <si>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</si>
  <si>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</si>
  <si>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</si>
  <si>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</si>
  <si>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</si>
  <si>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</si>
  <si>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</si>
  <si>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</si>
  <si>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</si>
  <si>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</si>
  <si>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</si>
  <si>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</si>
  <si>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</si>
  <si>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</si>
  <si>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</si>
  <si>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</si>
  <si>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</si>
  <si>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</si>
  <si>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</si>
  <si>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</si>
  <si>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</si>
  <si>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</si>
  <si>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</si>
  <si>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</si>
  <si>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</si>
  <si>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</si>
  <si>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</si>
  <si>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</si>
  <si>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</si>
  <si>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</si>
  <si>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</si>
  <si>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</si>
  <si>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</si>
  <si>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</si>
  <si>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</si>
  <si>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</si>
  <si>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</si>
  <si>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</si>
  <si>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</si>
  <si>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</si>
  <si>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</si>
  <si>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</si>
  <si>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</si>
  <si>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</si>
  <si>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</si>
  <si>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</si>
  <si>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</si>
  <si>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</si>
  <si>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</si>
  <si>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</si>
  <si>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</si>
  <si>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</si>
  <si>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</si>
  <si>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</si>
  <si>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</si>
  <si>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</si>
  <si>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</si>
  <si>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</si>
  <si>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</si>
  <si>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</si>
  <si>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</si>
  <si>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</si>
  <si>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</si>
  <si>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</si>
  <si>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</si>
  <si>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</si>
  <si>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</si>
  <si>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</si>
  <si>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</si>
  <si>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</si>
  <si>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</si>
  <si>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</si>
  <si>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</si>
  <si>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</si>
  <si>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</si>
  <si>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</si>
  <si>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</si>
  <si>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</si>
  <si>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</si>
  <si>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</si>
  <si>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</si>
  <si>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</si>
  <si>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</si>
  <si>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</si>
  <si>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</si>
  <si>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</si>
  <si>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</si>
  <si>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</si>
  <si>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</si>
  <si>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</si>
  <si>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</si>
  <si>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</si>
  <si>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</si>
  <si>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</si>
  <si>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</si>
  <si>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</si>
  <si>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</si>
  <si>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</si>
  <si>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</si>
  <si>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</si>
  <si>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</si>
  <si>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</si>
  <si>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</si>
  <si>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</si>
  <si>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</si>
  <si>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</si>
  <si>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</si>
  <si>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</si>
  <si>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</si>
  <si>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</si>
  <si>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</si>
  <si>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</si>
  <si>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</si>
  <si>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</si>
  <si>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</si>
  <si>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</si>
  <si>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</si>
  <si>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</si>
  <si>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</si>
  <si>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</si>
  <si>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</si>
  <si>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</si>
  <si>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</si>
  <si>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</si>
  <si>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</si>
  <si>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</si>
  <si>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</si>
  <si>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</si>
  <si>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</si>
  <si>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</si>
  <si>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</si>
  <si>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</si>
  <si>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</si>
  <si>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</si>
  <si>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</si>
  <si>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</si>
  <si>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</si>
  <si>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</si>
  <si>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</si>
  <si>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</si>
  <si>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</si>
  <si>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</si>
  <si>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</si>
  <si>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</si>
  <si>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</si>
  <si>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</si>
  <si>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</si>
  <si>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</si>
  <si>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</si>
  <si>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</si>
  <si>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</si>
  <si>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</si>
  <si>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</si>
  <si>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</si>
  <si>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</si>
  <si>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</si>
  <si>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</si>
  <si>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</si>
  <si>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</si>
  <si>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</si>
  <si>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</si>
  <si>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</si>
  <si>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</si>
  <si>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</si>
  <si>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</si>
  <si>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</si>
  <si>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</si>
  <si>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</si>
  <si>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</si>
  <si>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</si>
  <si>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</si>
  <si>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</si>
  <si>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</si>
  <si>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</si>
  <si>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</si>
  <si>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</si>
  <si>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</si>
  <si>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</si>
  <si>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</si>
  <si>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</si>
  <si>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</si>
  <si>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</si>
  <si>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</si>
  <si>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</si>
  <si>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</si>
  <si>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</si>
  <si>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</si>
  <si>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</si>
  <si>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</si>
  <si>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</si>
  <si>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</si>
  <si>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 xml:space="preserve">기능 개발 </t>
  </si>
  <si>
    <t>CSS</t>
  </si>
  <si>
    <t>레이아웃</t>
  </si>
  <si>
    <t>추가 기능</t>
  </si>
  <si>
    <t>간트 차트</t>
  </si>
  <si>
    <t>애니메이션 / 액션</t>
  </si>
  <si>
    <t>드래그 앤 드랍</t>
  </si>
  <si>
    <t>구글 캘린더 연동 달력 스케줄링</t>
  </si>
  <si>
    <t>할 일</t>
  </si>
  <si>
    <t>추가</t>
  </si>
  <si>
    <t>제거</t>
  </si>
  <si>
    <t>수정</t>
  </si>
  <si>
    <t>마감 날짜, 시간 설정</t>
  </si>
  <si>
    <t>할 일 이름</t>
  </si>
  <si>
    <t>1.1.1.1</t>
  </si>
  <si>
    <t>1.1.1.2</t>
  </si>
  <si>
    <t>todo list app</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</si>
</sst>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0" fontId="36" fillId="17" borderId="0" xfId="1" applyFont="1" applyFill="1" applyBorder="1" applyAlignment="1">
      <alignment horizontal="left" vertical="center"/>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0" fontId="35" fillId="19" borderId="19"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47" fillId="19" borderId="20" xfId="4" applyFont="1" applyFill="1" applyBorder="1" applyAlignment="1" applyProtection="1">
      <alignment horizontal="left" vertical="center"/>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3</xdr:row>
      <xdr:rowOff>76073</xdr:rowOff>
    </xdr:from>
    <xdr:to>
      <xdr:col>31</xdr:col>
      <xdr:colOff>61232</xdr:colOff>
      <xdr:row>19</xdr:row>
      <xdr:rowOff>0</xdr:rowOff>
    </xdr:to>
    <xdr:cxnSp macro="">
      <xdr:nvCxnSpPr>
        <xdr:cNvPr id="23452" name="직선 화살표 연결선 23451">
          <a:extLst>
            <a:ext uri="{FF2B5EF4-FFF2-40B4-BE49-F238E27FC236}">
              <a16:creationId xmlns:a16="http://schemas.microsoft.com/office/drawing/2014/main" id="{9AA2AABD-43E3-41CB-BE2D-AB76ABC97D72}"/>
            </a:ext>
          </a:extLst>
        </xdr:cNvPr>
        <xdr:cNvCxnSpPr/>
      </xdr:nvCxnSpPr>
      <xdr:spPr>
        <a:xfrm>
          <a:off x="10119632" y="752348"/>
          <a:ext cx="0" cy="2286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23453" name="15">
          <a:extLst>
            <a:ext uri="{FF2B5EF4-FFF2-40B4-BE49-F238E27FC236}">
              <a16:creationId xmlns:a16="http://schemas.microsoft.com/office/drawing/2014/main" id="{B4F90713-6118-4123-9A09-D6BE4FF13D8A}"/>
            </a:ext>
          </a:extLst>
        </xdr:cNvPr>
        <xdr:cNvSpPr/>
      </xdr:nvSpPr>
      <xdr:spPr>
        <a:xfrm>
          <a:off x="10242097" y="29051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23454" name="직선 화살표 연결선 23453">
          <a:extLst>
            <a:ext uri="{FF2B5EF4-FFF2-40B4-BE49-F238E27FC236}">
              <a16:creationId xmlns:a16="http://schemas.microsoft.com/office/drawing/2014/main" id="{09BACB28-D401-4CC2-A9F8-0D77176DC178}"/>
            </a:ext>
          </a:extLst>
        </xdr:cNvPr>
        <xdr:cNvCxnSpPr/>
      </xdr:nvCxnSpPr>
      <xdr:spPr>
        <a:xfrm>
          <a:off x="102420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17</xdr:row>
      <xdr:rowOff>19050</xdr:rowOff>
    </xdr:from>
    <xdr:to>
      <xdr:col>35</xdr:col>
      <xdr:colOff>21680</xdr:colOff>
      <xdr:row>17</xdr:row>
      <xdr:rowOff>133350</xdr:rowOff>
    </xdr:to>
    <xdr:sp macro="" textlink="">
      <xdr:nvSpPr>
        <xdr:cNvPr id="23455" name="14">
          <a:extLst>
            <a:ext uri="{FF2B5EF4-FFF2-40B4-BE49-F238E27FC236}">
              <a16:creationId xmlns:a16="http://schemas.microsoft.com/office/drawing/2014/main" id="{4454016A-D856-4B1B-88C7-7888E65A59E4}"/>
            </a:ext>
          </a:extLst>
        </xdr:cNvPr>
        <xdr:cNvSpPr/>
      </xdr:nvSpPr>
      <xdr:spPr>
        <a:xfrm>
          <a:off x="10242097" y="27527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17</xdr:row>
      <xdr:rowOff>76200</xdr:rowOff>
    </xdr:from>
    <xdr:to>
      <xdr:col>32</xdr:col>
      <xdr:colOff>40822</xdr:colOff>
      <xdr:row>17</xdr:row>
      <xdr:rowOff>76200</xdr:rowOff>
    </xdr:to>
    <xdr:cxnSp macro="">
      <xdr:nvCxnSpPr>
        <xdr:cNvPr id="23456" name="직선 화살표 연결선 23455">
          <a:extLst>
            <a:ext uri="{FF2B5EF4-FFF2-40B4-BE49-F238E27FC236}">
              <a16:creationId xmlns:a16="http://schemas.microsoft.com/office/drawing/2014/main" id="{5AB3BAC6-6B17-4D72-BB2D-76786C17F4CE}"/>
            </a:ext>
          </a:extLst>
        </xdr:cNvPr>
        <xdr:cNvCxnSpPr/>
      </xdr:nvCxnSpPr>
      <xdr:spPr>
        <a:xfrm>
          <a:off x="10242097"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16</xdr:row>
      <xdr:rowOff>19050</xdr:rowOff>
    </xdr:from>
    <xdr:to>
      <xdr:col>32</xdr:col>
      <xdr:colOff>42091</xdr:colOff>
      <xdr:row>16</xdr:row>
      <xdr:rowOff>133350</xdr:rowOff>
    </xdr:to>
    <xdr:sp macro="" textlink="">
      <xdr:nvSpPr>
        <xdr:cNvPr id="23457" name="13">
          <a:extLst>
            <a:ext uri="{FF2B5EF4-FFF2-40B4-BE49-F238E27FC236}">
              <a16:creationId xmlns:a16="http://schemas.microsoft.com/office/drawing/2014/main" id="{7E2CAB22-A02A-4D88-9EDC-A43925A66A9C}"/>
            </a:ext>
          </a:extLst>
        </xdr:cNvPr>
        <xdr:cNvSpPr/>
      </xdr:nvSpPr>
      <xdr:spPr>
        <a:xfrm>
          <a:off x="10221685" y="2600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16</xdr:row>
      <xdr:rowOff>76200</xdr:rowOff>
    </xdr:from>
    <xdr:to>
      <xdr:col>32</xdr:col>
      <xdr:colOff>20410</xdr:colOff>
      <xdr:row>16</xdr:row>
      <xdr:rowOff>76200</xdr:rowOff>
    </xdr:to>
    <xdr:cxnSp macro="">
      <xdr:nvCxnSpPr>
        <xdr:cNvPr id="23458" name="직선 화살표 연결선 23457">
          <a:extLst>
            <a:ext uri="{FF2B5EF4-FFF2-40B4-BE49-F238E27FC236}">
              <a16:creationId xmlns:a16="http://schemas.microsoft.com/office/drawing/2014/main" id="{202E917E-9254-49E3-AEC7-5BDD6560F82B}"/>
            </a:ext>
          </a:extLst>
        </xdr:cNvPr>
        <xdr:cNvCxnSpPr/>
      </xdr:nvCxnSpPr>
      <xdr:spPr>
        <a:xfrm>
          <a:off x="10221685"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35</xdr:col>
      <xdr:colOff>21680</xdr:colOff>
      <xdr:row>15</xdr:row>
      <xdr:rowOff>133350</xdr:rowOff>
    </xdr:to>
    <xdr:sp macro="" textlink="">
      <xdr:nvSpPr>
        <xdr:cNvPr id="23459" name="12">
          <a:extLst>
            <a:ext uri="{FF2B5EF4-FFF2-40B4-BE49-F238E27FC236}">
              <a16:creationId xmlns:a16="http://schemas.microsoft.com/office/drawing/2014/main" id="{FDB7A5E6-E964-4B74-BDFF-0932B92141D5}"/>
            </a:ext>
          </a:extLst>
        </xdr:cNvPr>
        <xdr:cNvSpPr/>
      </xdr:nvSpPr>
      <xdr:spPr>
        <a:xfrm>
          <a:off x="10221685" y="2447925"/>
          <a:ext cx="4298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32</xdr:col>
      <xdr:colOff>20410</xdr:colOff>
      <xdr:row>15</xdr:row>
      <xdr:rowOff>76200</xdr:rowOff>
    </xdr:to>
    <xdr:cxnSp macro="">
      <xdr:nvCxnSpPr>
        <xdr:cNvPr id="23460" name="직선 화살표 연결선 23459">
          <a:extLst>
            <a:ext uri="{FF2B5EF4-FFF2-40B4-BE49-F238E27FC236}">
              <a16:creationId xmlns:a16="http://schemas.microsoft.com/office/drawing/2014/main" id="{8A2BCC93-B9D8-41C8-B0C3-336DD408FA21}"/>
            </a:ext>
          </a:extLst>
        </xdr:cNvPr>
        <xdr:cNvCxnSpPr/>
      </xdr:nvCxnSpPr>
      <xdr:spPr>
        <a:xfrm>
          <a:off x="1022168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14</xdr:row>
      <xdr:rowOff>19050</xdr:rowOff>
    </xdr:from>
    <xdr:to>
      <xdr:col>35</xdr:col>
      <xdr:colOff>21680</xdr:colOff>
      <xdr:row>14</xdr:row>
      <xdr:rowOff>133350</xdr:rowOff>
    </xdr:to>
    <xdr:sp macro="" textlink="">
      <xdr:nvSpPr>
        <xdr:cNvPr id="23461" name="11">
          <a:extLst>
            <a:ext uri="{FF2B5EF4-FFF2-40B4-BE49-F238E27FC236}">
              <a16:creationId xmlns:a16="http://schemas.microsoft.com/office/drawing/2014/main" id="{AD6FA830-AE6B-4200-A35A-D047314ADA7D}"/>
            </a:ext>
          </a:extLst>
        </xdr:cNvPr>
        <xdr:cNvSpPr/>
      </xdr:nvSpPr>
      <xdr:spPr>
        <a:xfrm>
          <a:off x="10507435"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14</xdr:row>
      <xdr:rowOff>76200</xdr:rowOff>
    </xdr:from>
    <xdr:to>
      <xdr:col>34</xdr:col>
      <xdr:colOff>20410</xdr:colOff>
      <xdr:row>14</xdr:row>
      <xdr:rowOff>76200</xdr:rowOff>
    </xdr:to>
    <xdr:cxnSp macro="">
      <xdr:nvCxnSpPr>
        <xdr:cNvPr id="23462" name="직선 화살표 연결선 23461">
          <a:extLst>
            <a:ext uri="{FF2B5EF4-FFF2-40B4-BE49-F238E27FC236}">
              <a16:creationId xmlns:a16="http://schemas.microsoft.com/office/drawing/2014/main" id="{B7063901-EF0A-49D3-B792-B8003B11E981}"/>
            </a:ext>
          </a:extLst>
        </xdr:cNvPr>
        <xdr:cNvCxnSpPr/>
      </xdr:nvCxnSpPr>
      <xdr:spPr>
        <a:xfrm>
          <a:off x="1050743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34</xdr:col>
      <xdr:colOff>21680</xdr:colOff>
      <xdr:row>13</xdr:row>
      <xdr:rowOff>133350</xdr:rowOff>
    </xdr:to>
    <xdr:sp macro="" textlink="">
      <xdr:nvSpPr>
        <xdr:cNvPr id="23463" name="10">
          <a:extLst>
            <a:ext uri="{FF2B5EF4-FFF2-40B4-BE49-F238E27FC236}">
              <a16:creationId xmlns:a16="http://schemas.microsoft.com/office/drawing/2014/main" id="{30566B35-D022-4ECF-9A37-6AF0B57CCD0E}"/>
            </a:ext>
          </a:extLst>
        </xdr:cNvPr>
        <xdr:cNvSpPr/>
      </xdr:nvSpPr>
      <xdr:spPr>
        <a:xfrm>
          <a:off x="10364560" y="2143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23464" name="직선 화살표 연결선 23463">
          <a:extLst>
            <a:ext uri="{FF2B5EF4-FFF2-40B4-BE49-F238E27FC236}">
              <a16:creationId xmlns:a16="http://schemas.microsoft.com/office/drawing/2014/main" id="{C1222D57-17D2-481C-95A1-CD581ED96CA0}"/>
            </a:ext>
          </a:extLst>
        </xdr:cNvPr>
        <xdr:cNvCxnSpPr/>
      </xdr:nvCxnSpPr>
      <xdr:spPr>
        <a:xfrm>
          <a:off x="103645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12</xdr:row>
      <xdr:rowOff>19050</xdr:rowOff>
    </xdr:from>
    <xdr:to>
      <xdr:col>35</xdr:col>
      <xdr:colOff>21680</xdr:colOff>
      <xdr:row>12</xdr:row>
      <xdr:rowOff>133350</xdr:rowOff>
    </xdr:to>
    <xdr:sp macro="" textlink="">
      <xdr:nvSpPr>
        <xdr:cNvPr id="23465" name="9">
          <a:extLst>
            <a:ext uri="{FF2B5EF4-FFF2-40B4-BE49-F238E27FC236}">
              <a16:creationId xmlns:a16="http://schemas.microsoft.com/office/drawing/2014/main" id="{51837668-7EBD-489A-B937-97CAF832EB50}"/>
            </a:ext>
          </a:extLst>
        </xdr:cNvPr>
        <xdr:cNvSpPr/>
      </xdr:nvSpPr>
      <xdr:spPr>
        <a:xfrm>
          <a:off x="10364560" y="19907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12</xdr:row>
      <xdr:rowOff>76200</xdr:rowOff>
    </xdr:from>
    <xdr:to>
      <xdr:col>33</xdr:col>
      <xdr:colOff>20410</xdr:colOff>
      <xdr:row>12</xdr:row>
      <xdr:rowOff>76200</xdr:rowOff>
    </xdr:to>
    <xdr:cxnSp macro="">
      <xdr:nvCxnSpPr>
        <xdr:cNvPr id="23466" name="직선 화살표 연결선 23465">
          <a:extLst>
            <a:ext uri="{FF2B5EF4-FFF2-40B4-BE49-F238E27FC236}">
              <a16:creationId xmlns:a16="http://schemas.microsoft.com/office/drawing/2014/main" id="{228B82B2-D48F-480C-8C75-61173285B839}"/>
            </a:ext>
          </a:extLst>
        </xdr:cNvPr>
        <xdr:cNvCxnSpPr/>
      </xdr:nvCxnSpPr>
      <xdr:spPr>
        <a:xfrm>
          <a:off x="10364560"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23467" name="8">
          <a:extLst>
            <a:ext uri="{FF2B5EF4-FFF2-40B4-BE49-F238E27FC236}">
              <a16:creationId xmlns:a16="http://schemas.microsoft.com/office/drawing/2014/main" id="{67819DEE-7A95-4A64-9CEE-C846CCFF4612}"/>
            </a:ext>
          </a:extLst>
        </xdr:cNvPr>
        <xdr:cNvSpPr/>
      </xdr:nvSpPr>
      <xdr:spPr>
        <a:xfrm>
          <a:off x="100992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40822</xdr:colOff>
      <xdr:row>11</xdr:row>
      <xdr:rowOff>76200</xdr:rowOff>
    </xdr:to>
    <xdr:cxnSp macro="">
      <xdr:nvCxnSpPr>
        <xdr:cNvPr id="23468" name="직선 화살표 연결선 23467">
          <a:extLst>
            <a:ext uri="{FF2B5EF4-FFF2-40B4-BE49-F238E27FC236}">
              <a16:creationId xmlns:a16="http://schemas.microsoft.com/office/drawing/2014/main" id="{51783C6C-237D-46FD-B793-AF478C36757A}"/>
            </a:ext>
          </a:extLst>
        </xdr:cNvPr>
        <xdr:cNvCxnSpPr/>
      </xdr:nvCxnSpPr>
      <xdr:spPr>
        <a:xfrm>
          <a:off x="10099222"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23469" name="7">
          <a:extLst>
            <a:ext uri="{FF2B5EF4-FFF2-40B4-BE49-F238E27FC236}">
              <a16:creationId xmlns:a16="http://schemas.microsoft.com/office/drawing/2014/main" id="{54CC395D-3988-49DA-B475-6832B2D3AB95}"/>
            </a:ext>
          </a:extLst>
        </xdr:cNvPr>
        <xdr:cNvSpPr/>
      </xdr:nvSpPr>
      <xdr:spPr>
        <a:xfrm>
          <a:off x="100992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40822</xdr:colOff>
      <xdr:row>10</xdr:row>
      <xdr:rowOff>76200</xdr:rowOff>
    </xdr:to>
    <xdr:cxnSp macro="">
      <xdr:nvCxnSpPr>
        <xdr:cNvPr id="23470" name="직선 화살표 연결선 23469">
          <a:extLst>
            <a:ext uri="{FF2B5EF4-FFF2-40B4-BE49-F238E27FC236}">
              <a16:creationId xmlns:a16="http://schemas.microsoft.com/office/drawing/2014/main" id="{5FA11641-F8E9-49B6-935E-E55D7371481C}"/>
            </a:ext>
          </a:extLst>
        </xdr:cNvPr>
        <xdr:cNvCxnSpPr/>
      </xdr:nvCxnSpPr>
      <xdr:spPr>
        <a:xfrm>
          <a:off x="10099222"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23471" name="6">
          <a:extLst>
            <a:ext uri="{FF2B5EF4-FFF2-40B4-BE49-F238E27FC236}">
              <a16:creationId xmlns:a16="http://schemas.microsoft.com/office/drawing/2014/main" id="{DE34347B-0D19-40D7-85BC-67861AD6773B}"/>
            </a:ext>
          </a:extLst>
        </xdr:cNvPr>
        <xdr:cNvSpPr/>
      </xdr:nvSpPr>
      <xdr:spPr>
        <a:xfrm>
          <a:off x="100992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40822</xdr:colOff>
      <xdr:row>9</xdr:row>
      <xdr:rowOff>76200</xdr:rowOff>
    </xdr:to>
    <xdr:cxnSp macro="">
      <xdr:nvCxnSpPr>
        <xdr:cNvPr id="23472" name="직선 화살표 연결선 23471">
          <a:extLst>
            <a:ext uri="{FF2B5EF4-FFF2-40B4-BE49-F238E27FC236}">
              <a16:creationId xmlns:a16="http://schemas.microsoft.com/office/drawing/2014/main" id="{E0ABD1B8-666E-493A-A895-D45E3D39B1A5}"/>
            </a:ext>
          </a:extLst>
        </xdr:cNvPr>
        <xdr:cNvCxnSpPr/>
      </xdr:nvCxnSpPr>
      <xdr:spPr>
        <a:xfrm>
          <a:off x="10099222"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23473" name="5">
          <a:extLst>
            <a:ext uri="{FF2B5EF4-FFF2-40B4-BE49-F238E27FC236}">
              <a16:creationId xmlns:a16="http://schemas.microsoft.com/office/drawing/2014/main" id="{C5A0ED59-C548-4F3F-A9E8-772F36BA0E2E}"/>
            </a:ext>
          </a:extLst>
        </xdr:cNvPr>
        <xdr:cNvSpPr/>
      </xdr:nvSpPr>
      <xdr:spPr>
        <a:xfrm>
          <a:off x="100992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40822</xdr:colOff>
      <xdr:row>8</xdr:row>
      <xdr:rowOff>76200</xdr:rowOff>
    </xdr:to>
    <xdr:cxnSp macro="">
      <xdr:nvCxnSpPr>
        <xdr:cNvPr id="23474" name="직선 화살표 연결선 23473">
          <a:extLst>
            <a:ext uri="{FF2B5EF4-FFF2-40B4-BE49-F238E27FC236}">
              <a16:creationId xmlns:a16="http://schemas.microsoft.com/office/drawing/2014/main" id="{0975F55A-2F3F-4959-B128-8E14A69D873B}"/>
            </a:ext>
          </a:extLst>
        </xdr:cNvPr>
        <xdr:cNvCxnSpPr/>
      </xdr:nvCxnSpPr>
      <xdr:spPr>
        <a:xfrm>
          <a:off x="10099222"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23475" name="4">
          <a:extLst>
            <a:ext uri="{FF2B5EF4-FFF2-40B4-BE49-F238E27FC236}">
              <a16:creationId xmlns:a16="http://schemas.microsoft.com/office/drawing/2014/main" id="{5101E69F-9783-4733-9F7A-ED661BE312A5}"/>
            </a:ext>
          </a:extLst>
        </xdr:cNvPr>
        <xdr:cNvSpPr/>
      </xdr:nvSpPr>
      <xdr:spPr>
        <a:xfrm>
          <a:off x="100992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40822</xdr:colOff>
      <xdr:row>7</xdr:row>
      <xdr:rowOff>76200</xdr:rowOff>
    </xdr:to>
    <xdr:cxnSp macro="">
      <xdr:nvCxnSpPr>
        <xdr:cNvPr id="23476" name="직선 화살표 연결선 23475">
          <a:extLst>
            <a:ext uri="{FF2B5EF4-FFF2-40B4-BE49-F238E27FC236}">
              <a16:creationId xmlns:a16="http://schemas.microsoft.com/office/drawing/2014/main" id="{BD33201D-CF0E-4E0E-A9C9-C2268EB7C262}"/>
            </a:ext>
          </a:extLst>
        </xdr:cNvPr>
        <xdr:cNvCxnSpPr/>
      </xdr:nvCxnSpPr>
      <xdr:spPr>
        <a:xfrm>
          <a:off x="10099222"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23477" name="3">
          <a:extLst>
            <a:ext uri="{FF2B5EF4-FFF2-40B4-BE49-F238E27FC236}">
              <a16:creationId xmlns:a16="http://schemas.microsoft.com/office/drawing/2014/main" id="{762A615D-2655-4836-8E85-3692E9908296}"/>
            </a:ext>
          </a:extLst>
        </xdr:cNvPr>
        <xdr:cNvSpPr/>
      </xdr:nvSpPr>
      <xdr:spPr>
        <a:xfrm>
          <a:off x="100992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40822</xdr:colOff>
      <xdr:row>6</xdr:row>
      <xdr:rowOff>76200</xdr:rowOff>
    </xdr:to>
    <xdr:cxnSp macro="">
      <xdr:nvCxnSpPr>
        <xdr:cNvPr id="23478" name="직선 화살표 연결선 23477">
          <a:extLst>
            <a:ext uri="{FF2B5EF4-FFF2-40B4-BE49-F238E27FC236}">
              <a16:creationId xmlns:a16="http://schemas.microsoft.com/office/drawing/2014/main" id="{A5769889-6E03-46D2-9D79-4DE54EBF3F1D}"/>
            </a:ext>
          </a:extLst>
        </xdr:cNvPr>
        <xdr:cNvCxnSpPr/>
      </xdr:nvCxnSpPr>
      <xdr:spPr>
        <a:xfrm>
          <a:off x="10099222"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23479" name="2">
          <a:extLst>
            <a:ext uri="{FF2B5EF4-FFF2-40B4-BE49-F238E27FC236}">
              <a16:creationId xmlns:a16="http://schemas.microsoft.com/office/drawing/2014/main" id="{DC584E24-014E-4FD9-9DED-38D4C6061374}"/>
            </a:ext>
          </a:extLst>
        </xdr:cNvPr>
        <xdr:cNvSpPr/>
      </xdr:nvSpPr>
      <xdr:spPr>
        <a:xfrm>
          <a:off x="100992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40822</xdr:colOff>
      <xdr:row>5</xdr:row>
      <xdr:rowOff>76200</xdr:rowOff>
    </xdr:to>
    <xdr:cxnSp macro="">
      <xdr:nvCxnSpPr>
        <xdr:cNvPr id="23480" name="직선 화살표 연결선 23479">
          <a:extLst>
            <a:ext uri="{FF2B5EF4-FFF2-40B4-BE49-F238E27FC236}">
              <a16:creationId xmlns:a16="http://schemas.microsoft.com/office/drawing/2014/main" id="{4B4D3805-9B33-4A1B-8E16-3E5F01D040ED}"/>
            </a:ext>
          </a:extLst>
        </xdr:cNvPr>
        <xdr:cNvCxnSpPr/>
      </xdr:nvCxnSpPr>
      <xdr:spPr>
        <a:xfrm>
          <a:off x="10099222"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23481" name="1">
          <a:extLst>
            <a:ext uri="{FF2B5EF4-FFF2-40B4-BE49-F238E27FC236}">
              <a16:creationId xmlns:a16="http://schemas.microsoft.com/office/drawing/2014/main" id="{D44B9049-A707-4870-8046-57CED6C3E4FD}"/>
            </a:ext>
          </a:extLst>
        </xdr:cNvPr>
        <xdr:cNvSpPr/>
      </xdr:nvSpPr>
      <xdr:spPr>
        <a:xfrm>
          <a:off x="100992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31</xdr:col>
      <xdr:colOff>40822</xdr:colOff>
      <xdr:row>4</xdr:row>
      <xdr:rowOff>76200</xdr:rowOff>
    </xdr:to>
    <xdr:cxnSp macro="">
      <xdr:nvCxnSpPr>
        <xdr:cNvPr id="23482" name="직선 화살표 연결선 23481">
          <a:extLst>
            <a:ext uri="{FF2B5EF4-FFF2-40B4-BE49-F238E27FC236}">
              <a16:creationId xmlns:a16="http://schemas.microsoft.com/office/drawing/2014/main" id="{FAF80BFE-D8C3-4FD1-BCDC-6B757E838301}"/>
            </a:ext>
          </a:extLst>
        </xdr:cNvPr>
        <xdr:cNvCxnSpPr/>
      </xdr:nvCxnSpPr>
      <xdr:spPr>
        <a:xfrm>
          <a:off x="10099222"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9" t="s">
        <v>1420</v>
      </c>
      <c r="B1" s="240"/>
      <c r="C1" s="240"/>
      <c r="D1" s="240"/>
      <c r="E1" s="240"/>
      <c r="F1" s="240"/>
      <c r="G1" s="240"/>
      <c r="H1" s="182"/>
      <c r="I1" s="182"/>
      <c r="J1" s="246" t="s">
        <v>1570</v>
      </c>
      <c r="K1" s="247"/>
      <c r="L1" s="247"/>
      <c r="M1" s="183"/>
    </row>
    <row r="2" spans="1:13" s="104" customFormat="1" ht="33.75" customHeight="1">
      <c r="A2" s="241"/>
      <c r="B2" s="242"/>
      <c r="C2" s="242"/>
      <c r="D2" s="242"/>
      <c r="E2" s="242"/>
      <c r="F2" s="242"/>
      <c r="G2" s="242"/>
      <c r="H2" s="250" t="s">
        <v>1421</v>
      </c>
      <c r="I2" s="251"/>
      <c r="J2" s="251"/>
      <c r="K2" s="251"/>
      <c r="L2" s="251"/>
      <c r="M2" s="184"/>
    </row>
    <row r="4" spans="1:13" ht="17.25" customHeight="1">
      <c r="B4" s="248" t="s">
        <v>1422</v>
      </c>
      <c r="C4" s="248"/>
      <c r="D4" s="248"/>
      <c r="E4" s="248"/>
      <c r="F4" s="248"/>
      <c r="G4" s="248"/>
      <c r="H4" s="248"/>
      <c r="I4" s="248"/>
      <c r="J4" s="248"/>
      <c r="K4" s="248"/>
      <c r="L4" s="248"/>
    </row>
    <row r="5" spans="1:13" ht="27.75" customHeight="1">
      <c r="B5" s="248"/>
      <c r="C5" s="248"/>
      <c r="D5" s="248"/>
      <c r="E5" s="248"/>
      <c r="F5" s="248"/>
      <c r="G5" s="248"/>
      <c r="H5" s="248"/>
      <c r="I5" s="248"/>
      <c r="J5" s="248"/>
      <c r="K5" s="248"/>
      <c r="L5" s="248"/>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4" t="s">
        <v>1147</v>
      </c>
      <c r="E9" s="244"/>
      <c r="F9" s="244"/>
      <c r="G9" s="244"/>
      <c r="H9" s="244"/>
      <c r="I9" s="244"/>
      <c r="J9" s="244"/>
      <c r="K9" s="244"/>
      <c r="L9" s="244"/>
    </row>
    <row r="10" spans="1:13" s="104" customFormat="1" ht="27.75" customHeight="1" thickTop="1" thickBot="1">
      <c r="A10" s="108"/>
      <c r="B10" s="110" t="s">
        <v>534</v>
      </c>
      <c r="C10" s="108"/>
      <c r="D10" s="244" t="s">
        <v>1424</v>
      </c>
      <c r="E10" s="244"/>
      <c r="F10" s="244"/>
      <c r="G10" s="244"/>
      <c r="H10" s="244"/>
      <c r="I10" s="244"/>
      <c r="J10" s="244"/>
      <c r="K10" s="244"/>
      <c r="L10" s="244"/>
    </row>
    <row r="11" spans="1:13" s="104" customFormat="1" ht="27.75" customHeight="1" thickTop="1" thickBot="1">
      <c r="A11" s="108"/>
      <c r="B11" s="111" t="s">
        <v>535</v>
      </c>
      <c r="C11" s="108"/>
      <c r="D11" s="244" t="s">
        <v>1425</v>
      </c>
      <c r="E11" s="244"/>
      <c r="F11" s="244"/>
      <c r="G11" s="244"/>
      <c r="H11" s="244"/>
      <c r="I11" s="244"/>
      <c r="J11" s="244"/>
      <c r="K11" s="244"/>
      <c r="L11" s="244"/>
    </row>
    <row r="12" spans="1:13" s="104" customFormat="1" ht="27.75" customHeight="1" thickTop="1" thickBot="1">
      <c r="A12" s="108"/>
      <c r="B12" s="112" t="s">
        <v>536</v>
      </c>
      <c r="C12" s="108"/>
      <c r="D12" s="244" t="s">
        <v>1426</v>
      </c>
      <c r="E12" s="244"/>
      <c r="F12" s="244"/>
      <c r="G12" s="244"/>
      <c r="H12" s="244"/>
      <c r="I12" s="244"/>
      <c r="J12" s="244"/>
      <c r="K12" s="244"/>
      <c r="L12" s="244"/>
    </row>
    <row r="13" spans="1:13" s="104" customFormat="1" ht="27.75" customHeight="1" thickTop="1" thickBot="1">
      <c r="A13" s="108"/>
      <c r="B13" s="113" t="s">
        <v>1091</v>
      </c>
      <c r="C13" s="108"/>
      <c r="D13" s="244" t="s">
        <v>1188</v>
      </c>
      <c r="E13" s="244"/>
      <c r="F13" s="244"/>
      <c r="G13" s="244"/>
      <c r="H13" s="244"/>
      <c r="I13" s="244"/>
      <c r="J13" s="244"/>
      <c r="K13" s="244"/>
      <c r="L13" s="244"/>
    </row>
    <row r="14" spans="1:13" s="104" customFormat="1" ht="27.75" customHeight="1" thickTop="1" thickBot="1">
      <c r="A14" s="108"/>
      <c r="B14" s="113" t="s">
        <v>1008</v>
      </c>
      <c r="C14" s="108"/>
      <c r="D14" s="249" t="s">
        <v>1427</v>
      </c>
      <c r="E14" s="249"/>
      <c r="F14" s="249"/>
      <c r="G14" s="249"/>
      <c r="H14" s="249"/>
      <c r="I14" s="249"/>
      <c r="J14" s="249"/>
      <c r="K14" s="249"/>
      <c r="L14" s="249"/>
    </row>
    <row r="15" spans="1:13" s="104" customFormat="1" ht="27.75" customHeight="1" thickTop="1" thickBot="1">
      <c r="A15" s="108"/>
      <c r="B15" s="114" t="s">
        <v>537</v>
      </c>
      <c r="C15" s="108"/>
      <c r="D15" s="244" t="s">
        <v>1428</v>
      </c>
      <c r="E15" s="244"/>
      <c r="F15" s="244"/>
      <c r="G15" s="244"/>
      <c r="H15" s="244"/>
      <c r="I15" s="244"/>
      <c r="J15" s="244"/>
      <c r="K15" s="244"/>
      <c r="L15" s="244"/>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3" t="s">
        <v>1440</v>
      </c>
      <c r="E19" s="243"/>
      <c r="F19" s="243"/>
      <c r="G19" s="243"/>
      <c r="H19" s="243"/>
      <c r="I19" s="243"/>
      <c r="J19" s="243"/>
      <c r="K19" s="243"/>
      <c r="L19" s="126" t="s">
        <v>1174</v>
      </c>
    </row>
    <row r="20" spans="2:12" s="104" customFormat="1" ht="41.25" customHeight="1" thickTop="1" thickBot="1">
      <c r="B20" s="119" t="s">
        <v>1577</v>
      </c>
      <c r="D20" s="243" t="s">
        <v>1441</v>
      </c>
      <c r="E20" s="243"/>
      <c r="F20" s="243"/>
      <c r="G20" s="243"/>
      <c r="H20" s="243"/>
      <c r="I20" s="243"/>
      <c r="J20" s="243"/>
      <c r="K20" s="243"/>
      <c r="L20" s="126" t="s">
        <v>1174</v>
      </c>
    </row>
    <row r="21" spans="2:12" s="104" customFormat="1" ht="37.5" customHeight="1" thickTop="1" thickBot="1">
      <c r="B21" s="119" t="s">
        <v>1431</v>
      </c>
      <c r="D21" s="243" t="s">
        <v>1442</v>
      </c>
      <c r="E21" s="243"/>
      <c r="F21" s="243"/>
      <c r="G21" s="243"/>
      <c r="H21" s="243"/>
      <c r="I21" s="243"/>
      <c r="J21" s="243"/>
      <c r="K21" s="243"/>
      <c r="L21" s="126" t="s">
        <v>1174</v>
      </c>
    </row>
    <row r="22" spans="2:12" s="104" customFormat="1" ht="41.25" customHeight="1" thickTop="1" thickBot="1">
      <c r="B22" s="119" t="s">
        <v>1432</v>
      </c>
      <c r="D22" s="243" t="s">
        <v>1443</v>
      </c>
      <c r="E22" s="243"/>
      <c r="F22" s="243"/>
      <c r="G22" s="243"/>
      <c r="H22" s="243"/>
      <c r="I22" s="243"/>
      <c r="J22" s="243"/>
      <c r="K22" s="243"/>
      <c r="L22" s="126" t="s">
        <v>1174</v>
      </c>
    </row>
    <row r="23" spans="2:12" s="104" customFormat="1" ht="36" customHeight="1" thickTop="1" thickBot="1">
      <c r="B23" s="119" t="s">
        <v>1433</v>
      </c>
      <c r="D23" s="243" t="s">
        <v>1203</v>
      </c>
      <c r="E23" s="243"/>
      <c r="F23" s="243"/>
      <c r="G23" s="243"/>
      <c r="H23" s="243"/>
      <c r="I23" s="243"/>
      <c r="J23" s="243"/>
      <c r="K23" s="243"/>
      <c r="L23" s="126" t="s">
        <v>1174</v>
      </c>
    </row>
    <row r="24" spans="2:12" s="104" customFormat="1" ht="52.5" customHeight="1" thickTop="1" thickBot="1">
      <c r="B24" s="119" t="s">
        <v>1434</v>
      </c>
      <c r="D24" s="243" t="s">
        <v>1444</v>
      </c>
      <c r="E24" s="243"/>
      <c r="F24" s="243"/>
      <c r="G24" s="243"/>
      <c r="H24" s="243"/>
      <c r="I24" s="243"/>
      <c r="J24" s="243"/>
      <c r="K24" s="243"/>
      <c r="L24" s="126" t="s">
        <v>1174</v>
      </c>
    </row>
    <row r="25" spans="2:12" s="104" customFormat="1" ht="57" customHeight="1" thickTop="1" thickBot="1">
      <c r="B25" s="119" t="s">
        <v>1435</v>
      </c>
      <c r="D25" s="243" t="s">
        <v>1445</v>
      </c>
      <c r="E25" s="243"/>
      <c r="F25" s="243"/>
      <c r="G25" s="243"/>
      <c r="H25" s="243"/>
      <c r="I25" s="243"/>
      <c r="J25" s="243"/>
      <c r="K25" s="243"/>
      <c r="L25" s="126" t="s">
        <v>1174</v>
      </c>
    </row>
    <row r="26" spans="2:12" s="104" customFormat="1" ht="48.75" customHeight="1" thickTop="1" thickBot="1">
      <c r="B26" s="119" t="s">
        <v>1436</v>
      </c>
      <c r="D26" s="243" t="s">
        <v>1446</v>
      </c>
      <c r="E26" s="243"/>
      <c r="F26" s="243"/>
      <c r="G26" s="243"/>
      <c r="H26" s="243"/>
      <c r="I26" s="243"/>
      <c r="J26" s="243"/>
      <c r="K26" s="243"/>
      <c r="L26" s="126" t="s">
        <v>1174</v>
      </c>
    </row>
    <row r="27" spans="2:12" s="104" customFormat="1" ht="43.5" customHeight="1" thickTop="1" thickBot="1">
      <c r="B27" s="119" t="s">
        <v>1437</v>
      </c>
      <c r="D27" s="243" t="s">
        <v>1447</v>
      </c>
      <c r="E27" s="243"/>
      <c r="F27" s="243"/>
      <c r="G27" s="243"/>
      <c r="H27" s="243"/>
      <c r="I27" s="243"/>
      <c r="J27" s="243"/>
      <c r="K27" s="243"/>
      <c r="L27" s="126" t="s">
        <v>1174</v>
      </c>
    </row>
    <row r="28" spans="2:12" s="104" customFormat="1" ht="43.5" customHeight="1" thickTop="1" thickBot="1">
      <c r="B28" s="119" t="s">
        <v>1438</v>
      </c>
      <c r="D28" s="243" t="s">
        <v>1448</v>
      </c>
      <c r="E28" s="243"/>
      <c r="F28" s="243"/>
      <c r="G28" s="243"/>
      <c r="H28" s="243"/>
      <c r="I28" s="243"/>
      <c r="J28" s="243"/>
      <c r="K28" s="243"/>
      <c r="L28" s="126" t="s">
        <v>1174</v>
      </c>
    </row>
    <row r="29" spans="2:12" s="104" customFormat="1" ht="50.25" customHeight="1" thickTop="1" thickBot="1">
      <c r="B29" s="119" t="s">
        <v>536</v>
      </c>
      <c r="D29" s="243" t="s">
        <v>1209</v>
      </c>
      <c r="E29" s="243"/>
      <c r="F29" s="243"/>
      <c r="G29" s="243"/>
      <c r="H29" s="243"/>
      <c r="I29" s="243"/>
      <c r="J29" s="243"/>
      <c r="K29" s="243"/>
      <c r="L29" s="126" t="s">
        <v>1174</v>
      </c>
    </row>
    <row r="30" spans="2:12" s="104" customFormat="1" ht="57.75" customHeight="1" thickTop="1" thickBot="1">
      <c r="B30" s="119" t="s">
        <v>1172</v>
      </c>
      <c r="D30" s="243" t="s">
        <v>1449</v>
      </c>
      <c r="E30" s="243"/>
      <c r="F30" s="243"/>
      <c r="G30" s="243"/>
      <c r="H30" s="243"/>
      <c r="I30" s="243"/>
      <c r="J30" s="243"/>
      <c r="K30" s="243"/>
      <c r="L30" s="126" t="s">
        <v>1174</v>
      </c>
    </row>
    <row r="31" spans="2:12" s="104" customFormat="1" ht="67.5" customHeight="1" thickTop="1" thickBot="1">
      <c r="B31" s="119" t="s">
        <v>1439</v>
      </c>
      <c r="D31" s="243" t="s">
        <v>1211</v>
      </c>
      <c r="E31" s="243"/>
      <c r="F31" s="243"/>
      <c r="G31" s="243"/>
      <c r="H31" s="243"/>
      <c r="I31" s="243"/>
      <c r="J31" s="243"/>
      <c r="K31" s="243"/>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5" t="s">
        <v>1450</v>
      </c>
      <c r="C34" s="245"/>
      <c r="D34" s="245"/>
      <c r="E34" s="245"/>
      <c r="F34" s="245"/>
      <c r="G34" s="245"/>
      <c r="H34" s="245"/>
      <c r="I34" s="245"/>
      <c r="J34" s="245"/>
      <c r="K34" s="245"/>
      <c r="L34" s="245"/>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0.625" style="146" bestFit="1"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1610</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[계획:14.29% 실적:0.00%]</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71"/>
      <c r="E2" s="271"/>
      <c r="F2" s="271"/>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85" t="s">
        <v>1307</v>
      </c>
      <c r="AG2" s="285"/>
      <c r="AH2" s="285"/>
      <c r="AI2" s="285"/>
      <c r="AJ2" s="285" t="s">
        <v>1335</v>
      </c>
      <c r="AK2" s="285"/>
      <c r="AL2" s="285"/>
      <c r="AM2" s="285"/>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row>
    <row r="3" spans="1:66" s="140" customFormat="1" ht="18.95" customHeight="1">
      <c r="A3" s="258" t="s">
        <v>554</v>
      </c>
      <c r="B3" s="260" t="s">
        <v>549</v>
      </c>
      <c r="C3" s="262" t="s">
        <v>556</v>
      </c>
      <c r="D3" s="263" t="s">
        <v>550</v>
      </c>
      <c r="E3" s="265" t="s">
        <v>1468</v>
      </c>
      <c r="F3" s="266"/>
      <c r="G3" s="266"/>
      <c r="H3" s="266"/>
      <c r="I3" s="266"/>
      <c r="J3" s="266"/>
      <c r="K3" s="266"/>
      <c r="L3" s="266"/>
      <c r="M3" s="266"/>
      <c r="N3" s="266"/>
      <c r="O3" s="256" t="s">
        <v>1469</v>
      </c>
      <c r="P3" s="256" t="s">
        <v>1470</v>
      </c>
      <c r="Q3" s="256" t="s">
        <v>1471</v>
      </c>
      <c r="R3" s="277" t="s">
        <v>1368</v>
      </c>
      <c r="S3" s="272" t="s">
        <v>1472</v>
      </c>
      <c r="T3" s="279" t="s">
        <v>1473</v>
      </c>
      <c r="U3" s="272" t="s">
        <v>1474</v>
      </c>
      <c r="V3" s="272" t="s">
        <v>1475</v>
      </c>
      <c r="W3" s="274" t="s">
        <v>1476</v>
      </c>
      <c r="X3" s="274" t="s">
        <v>1477</v>
      </c>
      <c r="Y3" s="281" t="s">
        <v>1478</v>
      </c>
      <c r="Z3" s="275" t="s">
        <v>1479</v>
      </c>
      <c r="AA3" s="268" t="s">
        <v>1480</v>
      </c>
      <c r="AB3" s="256" t="s">
        <v>1481</v>
      </c>
      <c r="AC3" s="270" t="s">
        <v>1482</v>
      </c>
      <c r="AD3" s="254" t="s">
        <v>1483</v>
      </c>
      <c r="AE3" s="252" t="s">
        <v>1484</v>
      </c>
      <c r="AF3" s="287" t="s">
        <v>1592</v>
      </c>
      <c r="AG3" s="284"/>
      <c r="AH3" s="284"/>
      <c r="AI3" s="284"/>
      <c r="AJ3" s="283" t="s">
        <v>1593</v>
      </c>
      <c r="AK3" s="284"/>
      <c r="AL3" s="284"/>
      <c r="AM3" s="286"/>
    </row>
    <row r="4" spans="1:66" s="141" customFormat="1" ht="6" customHeight="1">
      <c r="A4" s="259"/>
      <c r="B4" s="261"/>
      <c r="C4" s="258"/>
      <c r="D4" s="264"/>
      <c r="E4" s="267"/>
      <c r="F4" s="266"/>
      <c r="G4" s="266"/>
      <c r="H4" s="266"/>
      <c r="I4" s="266"/>
      <c r="J4" s="266"/>
      <c r="K4" s="266"/>
      <c r="L4" s="266"/>
      <c r="M4" s="266"/>
      <c r="N4" s="266"/>
      <c r="O4" s="257"/>
      <c r="P4" s="257"/>
      <c r="Q4" s="257"/>
      <c r="R4" s="278"/>
      <c r="S4" s="273"/>
      <c r="T4" s="280"/>
      <c r="U4" s="273"/>
      <c r="V4" s="273"/>
      <c r="W4" s="257"/>
      <c r="X4" s="257"/>
      <c r="Y4" s="282"/>
      <c r="Z4" s="276"/>
      <c r="AA4" s="269"/>
      <c r="AB4" s="257"/>
      <c r="AC4" s="264"/>
      <c r="AD4" s="255"/>
      <c r="AE4" s="253"/>
      <c r="AF4" s="187">
        <v>44591</v>
      </c>
      <c r="AG4" s="188">
        <v>44598</v>
      </c>
      <c r="AH4" s="188">
        <v>44605</v>
      </c>
      <c r="AI4" s="188">
        <v>44612</v>
      </c>
      <c r="AJ4" s="188">
        <v>44619</v>
      </c>
      <c r="AK4" s="296"/>
      <c r="AL4" s="296"/>
      <c r="AM4" s="218"/>
      <c r="AN4" s="219"/>
      <c r="AO4" s="219"/>
      <c r="AP4" s="219"/>
      <c r="AQ4" s="219"/>
      <c r="AR4" s="219"/>
      <c r="AS4" s="219"/>
      <c r="AT4" s="219"/>
      <c r="AU4" s="219"/>
      <c r="AV4" s="219"/>
      <c r="AW4" s="219"/>
      <c r="AX4" s="219"/>
      <c r="AY4" s="219"/>
      <c r="AZ4" s="219"/>
      <c r="BA4" s="219"/>
      <c r="BB4" s="219"/>
      <c r="BC4" s="219"/>
      <c r="BD4" s="219"/>
      <c r="BE4" s="219"/>
      <c r="BF4" s="219"/>
      <c r="BG4" s="219"/>
      <c r="BH4" s="219"/>
      <c r="BI4" s="219"/>
      <c r="BJ4" s="219"/>
      <c r="BK4" s="219"/>
      <c r="BL4" s="219"/>
      <c r="BM4" s="219"/>
      <c r="BN4" s="219"/>
    </row>
    <row r="5" spans="1:66" ht="12" customHeight="1">
      <c r="A5" s="203"/>
      <c r="B5" s="203" t="s">
        <v>1485</v>
      </c>
      <c r="C5" s="203">
        <v>1</v>
      </c>
      <c r="D5" s="216" t="s">
        <v>1023</v>
      </c>
      <c r="E5" s="204" t="s">
        <v>1594</v>
      </c>
      <c r="F5" s="204"/>
      <c r="G5" s="204"/>
      <c r="H5" s="204"/>
      <c r="I5" s="204"/>
      <c r="J5" s="204"/>
      <c r="K5" s="204"/>
      <c r="L5" s="204"/>
      <c r="M5" s="204"/>
      <c r="N5" s="204"/>
      <c r="O5" s="204"/>
      <c r="P5" s="205">
        <v>44593</v>
      </c>
      <c r="Q5" s="205">
        <v>44619</v>
      </c>
      <c r="R5" s="206"/>
      <c r="S5" s="207">
        <v>20</v>
      </c>
      <c r="T5" s="207">
        <v>5</v>
      </c>
      <c r="U5" s="207">
        <v>19</v>
      </c>
      <c r="V5" s="207">
        <v>1</v>
      </c>
      <c r="W5" s="205"/>
      <c r="X5" s="205"/>
      <c r="Y5" s="208">
        <v>0</v>
      </c>
      <c r="Z5" s="209">
        <v>0</v>
      </c>
      <c r="AA5" s="207"/>
      <c r="AB5" s="206"/>
      <c r="AC5" s="210"/>
      <c r="AD5" s="211">
        <v>0.25</v>
      </c>
      <c r="AE5" s="215">
        <v>0</v>
      </c>
      <c r="AF5" s="190" t="str">
        <f>"  " &amp; TEXT(AE5,"#0.00%") &amp; " "</f>
        <v xml:space="preserve">  0.00% </v>
      </c>
      <c r="AG5" s="191"/>
      <c r="AH5" s="191"/>
      <c r="AI5" s="191"/>
      <c r="AJ5" s="191" t="str">
        <f>" " &amp; "기능 개발 " &amp; " " &amp; IF(P5="","",TEXT(P5,"M/D-")) &amp; IF(Q5="","",TEXT(Q5,"M/D")) &amp; " "</f>
        <v xml:space="preserve"> 기능 개발  2/1-2/27 </v>
      </c>
      <c r="AK5" s="191"/>
      <c r="AL5" s="189"/>
      <c r="AM5" s="189"/>
    </row>
    <row r="6" spans="1:66" ht="12" customHeight="1" outlineLevel="1">
      <c r="A6" s="203"/>
      <c r="B6" s="203" t="s">
        <v>1485</v>
      </c>
      <c r="C6" s="203">
        <v>2</v>
      </c>
      <c r="D6" s="216" t="s">
        <v>1097</v>
      </c>
      <c r="E6" s="204"/>
      <c r="F6" s="204" t="s">
        <v>1602</v>
      </c>
      <c r="G6" s="204"/>
      <c r="H6" s="204"/>
      <c r="I6" s="204"/>
      <c r="J6" s="204"/>
      <c r="K6" s="204"/>
      <c r="L6" s="204"/>
      <c r="M6" s="204"/>
      <c r="N6" s="204"/>
      <c r="O6" s="204"/>
      <c r="P6" s="205">
        <v>44593</v>
      </c>
      <c r="Q6" s="205">
        <v>44594</v>
      </c>
      <c r="R6" s="206"/>
      <c r="S6" s="207">
        <v>10</v>
      </c>
      <c r="T6" s="207">
        <v>5</v>
      </c>
      <c r="U6" s="207">
        <v>2</v>
      </c>
      <c r="V6" s="207">
        <v>1</v>
      </c>
      <c r="W6" s="205"/>
      <c r="X6" s="205"/>
      <c r="Y6" s="208">
        <v>0</v>
      </c>
      <c r="Z6" s="209">
        <v>0</v>
      </c>
      <c r="AA6" s="207"/>
      <c r="AB6" s="206"/>
      <c r="AC6" s="210"/>
      <c r="AD6" s="211">
        <v>0.5</v>
      </c>
      <c r="AE6" s="215">
        <v>0</v>
      </c>
      <c r="AF6" s="190" t="str">
        <f>"  " &amp; TEXT(AE6,"#0.00%") &amp; " " &amp; "할 일" &amp; " " &amp; IF(P6="","",TEXT(P6,"M/D-")) &amp; IF(Q6="","",TEXT(Q6,"M/D")) &amp; " "</f>
        <v xml:space="preserve">  0.00% 할 일 2/1-2/2 </v>
      </c>
      <c r="AG6" s="191"/>
      <c r="AH6" s="191"/>
      <c r="AI6" s="191"/>
      <c r="AJ6" s="191"/>
      <c r="AK6" s="191"/>
    </row>
    <row r="7" spans="1:66" ht="12" customHeight="1" outlineLevel="2">
      <c r="A7" s="203"/>
      <c r="B7" s="203" t="s">
        <v>1485</v>
      </c>
      <c r="C7" s="203">
        <v>3</v>
      </c>
      <c r="D7" s="216" t="s">
        <v>1098</v>
      </c>
      <c r="E7" s="204"/>
      <c r="F7" s="204"/>
      <c r="G7" s="204" t="s">
        <v>1603</v>
      </c>
      <c r="H7" s="204"/>
      <c r="I7" s="204"/>
      <c r="J7" s="204"/>
      <c r="K7" s="204"/>
      <c r="L7" s="204"/>
      <c r="M7" s="204"/>
      <c r="N7" s="204"/>
      <c r="O7" s="204"/>
      <c r="P7" s="205">
        <v>44593</v>
      </c>
      <c r="Q7" s="205">
        <v>44594</v>
      </c>
      <c r="R7" s="206"/>
      <c r="S7" s="207">
        <v>4</v>
      </c>
      <c r="T7" s="207">
        <v>2</v>
      </c>
      <c r="U7" s="207">
        <v>2</v>
      </c>
      <c r="V7" s="207">
        <v>1</v>
      </c>
      <c r="W7" s="205"/>
      <c r="X7" s="205"/>
      <c r="Y7" s="208">
        <v>0</v>
      </c>
      <c r="Z7" s="209">
        <v>0</v>
      </c>
      <c r="AA7" s="207"/>
      <c r="AB7" s="206"/>
      <c r="AC7" s="210"/>
      <c r="AD7" s="211">
        <v>0.5</v>
      </c>
      <c r="AE7" s="215">
        <v>0</v>
      </c>
      <c r="AF7" s="190" t="str">
        <f>"  " &amp; TEXT(AE7,"#0.00%") &amp; " " &amp; "추가" &amp; " " &amp; IF(P7="","",TEXT(P7,"M/D-")) &amp; IF(Q7="","",TEXT(Q7,"M/D")) &amp; " "</f>
        <v xml:space="preserve">  0.00% 추가 2/1-2/2 </v>
      </c>
      <c r="AG7" s="191"/>
      <c r="AH7" s="191"/>
      <c r="AI7" s="191"/>
      <c r="AJ7" s="191"/>
      <c r="AK7" s="191"/>
    </row>
    <row r="8" spans="1:66" ht="12" customHeight="1" outlineLevel="3">
      <c r="A8" s="203"/>
      <c r="B8" s="203"/>
      <c r="C8" s="203">
        <v>4</v>
      </c>
      <c r="D8" s="216" t="s">
        <v>1608</v>
      </c>
      <c r="E8" s="204"/>
      <c r="F8" s="204"/>
      <c r="G8" s="204"/>
      <c r="H8" s="204" t="s">
        <v>1607</v>
      </c>
      <c r="I8" s="204"/>
      <c r="J8" s="204"/>
      <c r="K8" s="204"/>
      <c r="L8" s="204"/>
      <c r="M8" s="204"/>
      <c r="N8" s="204"/>
      <c r="O8" s="204"/>
      <c r="P8" s="205">
        <v>44593</v>
      </c>
      <c r="Q8" s="205">
        <v>44594</v>
      </c>
      <c r="R8" s="206"/>
      <c r="S8" s="207">
        <v>2</v>
      </c>
      <c r="T8" s="207">
        <v>1</v>
      </c>
      <c r="U8" s="207">
        <v>2</v>
      </c>
      <c r="V8" s="207">
        <v>1</v>
      </c>
      <c r="W8" s="205"/>
      <c r="X8" s="205"/>
      <c r="Y8" s="208"/>
      <c r="Z8" s="209">
        <v>0</v>
      </c>
      <c r="AA8" s="207"/>
      <c r="AB8" s="206"/>
      <c r="AC8" s="210"/>
      <c r="AD8" s="211">
        <v>0.5</v>
      </c>
      <c r="AE8" s="214">
        <v>0</v>
      </c>
      <c r="AF8" s="190" t="str">
        <f>"  " &amp; TEXT(AE8,"#0.00%") &amp; " " &amp; "할 일 이름" &amp; " " &amp; IF(P8="","",TEXT(P8,"M/D-")) &amp; IF(Q8="","",TEXT(Q8,"M/D")) &amp; " "</f>
        <v xml:space="preserve">  0.00% 할 일 이름 2/1-2/2 </v>
      </c>
      <c r="AG8" s="191"/>
      <c r="AH8" s="191"/>
      <c r="AI8" s="191"/>
      <c r="AJ8" s="191"/>
      <c r="AK8" s="191"/>
    </row>
    <row r="9" spans="1:66" ht="12" customHeight="1" outlineLevel="3">
      <c r="A9" s="203"/>
      <c r="B9" s="203"/>
      <c r="C9" s="203">
        <v>4</v>
      </c>
      <c r="D9" s="216" t="s">
        <v>1609</v>
      </c>
      <c r="E9" s="204"/>
      <c r="F9" s="204"/>
      <c r="G9" s="204"/>
      <c r="H9" s="204" t="s">
        <v>1606</v>
      </c>
      <c r="I9" s="204"/>
      <c r="J9" s="204"/>
      <c r="K9" s="204"/>
      <c r="L9" s="204"/>
      <c r="M9" s="204"/>
      <c r="N9" s="204"/>
      <c r="O9" s="204"/>
      <c r="P9" s="205">
        <v>44593</v>
      </c>
      <c r="Q9" s="205">
        <v>44594</v>
      </c>
      <c r="R9" s="206"/>
      <c r="S9" s="207">
        <v>2</v>
      </c>
      <c r="T9" s="207">
        <v>1</v>
      </c>
      <c r="U9" s="207">
        <v>2</v>
      </c>
      <c r="V9" s="207">
        <v>1</v>
      </c>
      <c r="W9" s="205"/>
      <c r="X9" s="205"/>
      <c r="Y9" s="208"/>
      <c r="Z9" s="209">
        <v>0</v>
      </c>
      <c r="AA9" s="207"/>
      <c r="AB9" s="206"/>
      <c r="AC9" s="210"/>
      <c r="AD9" s="211">
        <v>0.5</v>
      </c>
      <c r="AE9" s="214">
        <v>0</v>
      </c>
      <c r="AF9" s="190" t="str">
        <f>"  " &amp; TEXT(AE9,"#0.00%") &amp; " " &amp; "마감 날짜, 시간 설정" &amp; " " &amp; IF(P9="","",TEXT(P9,"M/D-")) &amp; IF(Q9="","",TEXT(Q9,"M/D")) &amp; " "</f>
        <v xml:space="preserve">  0.00% 마감 날짜, 시간 설정 2/1-2/2 </v>
      </c>
      <c r="AG9" s="191"/>
      <c r="AH9" s="191"/>
      <c r="AI9" s="191"/>
      <c r="AJ9" s="191"/>
      <c r="AK9" s="191"/>
    </row>
    <row r="10" spans="1:66" ht="12" customHeight="1" outlineLevel="2">
      <c r="A10" s="203"/>
      <c r="B10" s="203"/>
      <c r="C10" s="203">
        <v>3</v>
      </c>
      <c r="D10" s="216" t="s">
        <v>1099</v>
      </c>
      <c r="E10" s="204"/>
      <c r="F10" s="204"/>
      <c r="G10" s="204" t="s">
        <v>672</v>
      </c>
      <c r="H10" s="204"/>
      <c r="I10" s="204"/>
      <c r="J10" s="204"/>
      <c r="K10" s="204"/>
      <c r="L10" s="204"/>
      <c r="M10" s="204"/>
      <c r="N10" s="204"/>
      <c r="O10" s="204"/>
      <c r="P10" s="205">
        <v>44593</v>
      </c>
      <c r="Q10" s="205">
        <v>44594</v>
      </c>
      <c r="R10" s="206"/>
      <c r="S10" s="207">
        <v>2</v>
      </c>
      <c r="T10" s="207">
        <v>1</v>
      </c>
      <c r="U10" s="207">
        <v>2</v>
      </c>
      <c r="V10" s="207">
        <v>1</v>
      </c>
      <c r="W10" s="205"/>
      <c r="X10" s="205"/>
      <c r="Y10" s="208"/>
      <c r="Z10" s="209">
        <v>0</v>
      </c>
      <c r="AA10" s="207"/>
      <c r="AB10" s="206"/>
      <c r="AC10" s="210"/>
      <c r="AD10" s="211">
        <v>0.5</v>
      </c>
      <c r="AE10" s="214">
        <v>0</v>
      </c>
      <c r="AF10" s="190" t="str">
        <f>"  " &amp; TEXT(AE10,"#0.00%") &amp; " " &amp; "완료" &amp; " " &amp; IF(P10="","",TEXT(P10,"M/D-")) &amp; IF(Q10="","",TEXT(Q10,"M/D")) &amp; " "</f>
        <v xml:space="preserve">  0.00% 완료 2/1-2/2 </v>
      </c>
      <c r="AG10" s="191"/>
      <c r="AH10" s="191"/>
      <c r="AI10" s="191"/>
      <c r="AJ10" s="191"/>
      <c r="AK10" s="191"/>
    </row>
    <row r="11" spans="1:66" ht="12" customHeight="1" outlineLevel="2">
      <c r="A11" s="203"/>
      <c r="B11" s="203"/>
      <c r="C11" s="203">
        <v>3</v>
      </c>
      <c r="D11" s="216" t="s">
        <v>1120</v>
      </c>
      <c r="E11" s="204"/>
      <c r="F11" s="204"/>
      <c r="G11" s="204" t="s">
        <v>1604</v>
      </c>
      <c r="H11" s="204"/>
      <c r="I11" s="204"/>
      <c r="J11" s="204"/>
      <c r="K11" s="204"/>
      <c r="L11" s="204"/>
      <c r="M11" s="204"/>
      <c r="N11" s="204"/>
      <c r="O11" s="204"/>
      <c r="P11" s="205">
        <v>44593</v>
      </c>
      <c r="Q11" s="205">
        <v>44594</v>
      </c>
      <c r="R11" s="206"/>
      <c r="S11" s="207">
        <v>2</v>
      </c>
      <c r="T11" s="207">
        <v>1</v>
      </c>
      <c r="U11" s="207">
        <v>2</v>
      </c>
      <c r="V11" s="207">
        <v>1</v>
      </c>
      <c r="W11" s="205"/>
      <c r="X11" s="205"/>
      <c r="Y11" s="208"/>
      <c r="Z11" s="209">
        <v>0</v>
      </c>
      <c r="AA11" s="207"/>
      <c r="AB11" s="206"/>
      <c r="AC11" s="210"/>
      <c r="AD11" s="211">
        <v>0.5</v>
      </c>
      <c r="AE11" s="214">
        <v>0</v>
      </c>
      <c r="AF11" s="190" t="str">
        <f>"  " &amp; TEXT(AE11,"#0.00%") &amp; " " &amp; "제거" &amp; " " &amp; IF(P11="","",TEXT(P11,"M/D-")) &amp; IF(Q11="","",TEXT(Q11,"M/D")) &amp; " "</f>
        <v xml:space="preserve">  0.00% 제거 2/1-2/2 </v>
      </c>
      <c r="AG11" s="191"/>
      <c r="AH11" s="191"/>
      <c r="AI11" s="191"/>
      <c r="AJ11" s="191"/>
      <c r="AK11" s="191"/>
    </row>
    <row r="12" spans="1:66" ht="12" customHeight="1" outlineLevel="2">
      <c r="A12" s="203"/>
      <c r="B12" s="203"/>
      <c r="C12" s="203">
        <v>3</v>
      </c>
      <c r="D12" s="216" t="s">
        <v>1121</v>
      </c>
      <c r="E12" s="204"/>
      <c r="F12" s="204"/>
      <c r="G12" s="204" t="s">
        <v>1605</v>
      </c>
      <c r="H12" s="204"/>
      <c r="I12" s="204"/>
      <c r="J12" s="204"/>
      <c r="K12" s="204"/>
      <c r="L12" s="204"/>
      <c r="M12" s="204"/>
      <c r="N12" s="204"/>
      <c r="O12" s="204"/>
      <c r="P12" s="205">
        <v>44593</v>
      </c>
      <c r="Q12" s="205">
        <v>44594</v>
      </c>
      <c r="R12" s="206"/>
      <c r="S12" s="207">
        <v>2</v>
      </c>
      <c r="T12" s="207">
        <v>1</v>
      </c>
      <c r="U12" s="207">
        <v>2</v>
      </c>
      <c r="V12" s="207">
        <v>1</v>
      </c>
      <c r="W12" s="205"/>
      <c r="X12" s="205"/>
      <c r="Y12" s="208"/>
      <c r="Z12" s="209">
        <v>0</v>
      </c>
      <c r="AA12" s="207"/>
      <c r="AB12" s="206"/>
      <c r="AC12" s="210"/>
      <c r="AD12" s="211">
        <v>0.5</v>
      </c>
      <c r="AE12" s="214">
        <v>0</v>
      </c>
      <c r="AF12" s="190" t="str">
        <f>"  " &amp; TEXT(AE12,"#0.00%") &amp; " " &amp; "수정" &amp; " " &amp; IF(P12="","",TEXT(P12,"M/D-")) &amp; IF(Q12="","",TEXT(Q12,"M/D")) &amp; " "</f>
        <v xml:space="preserve">  0.00% 수정 2/1-2/2 </v>
      </c>
      <c r="AG12" s="191"/>
      <c r="AH12" s="191"/>
      <c r="AI12" s="191"/>
      <c r="AJ12" s="191"/>
      <c r="AK12" s="191"/>
    </row>
    <row r="13" spans="1:66" ht="12" customHeight="1" outlineLevel="1">
      <c r="A13" s="203"/>
      <c r="B13" s="203" t="s">
        <v>1485</v>
      </c>
      <c r="C13" s="203">
        <v>2</v>
      </c>
      <c r="D13" s="216" t="s">
        <v>1100</v>
      </c>
      <c r="E13" s="204"/>
      <c r="F13" s="204" t="s">
        <v>1597</v>
      </c>
      <c r="G13" s="204"/>
      <c r="H13" s="204"/>
      <c r="I13" s="204"/>
      <c r="J13" s="204"/>
      <c r="K13" s="204"/>
      <c r="L13" s="204"/>
      <c r="M13" s="204"/>
      <c r="N13" s="204"/>
      <c r="O13" s="204"/>
      <c r="P13" s="205">
        <v>44606</v>
      </c>
      <c r="Q13" s="205">
        <v>44619</v>
      </c>
      <c r="R13" s="206"/>
      <c r="S13" s="207">
        <v>10</v>
      </c>
      <c r="T13" s="207">
        <v>0</v>
      </c>
      <c r="U13" s="207">
        <v>10</v>
      </c>
      <c r="V13" s="207">
        <v>0</v>
      </c>
      <c r="W13" s="205"/>
      <c r="X13" s="205"/>
      <c r="Y13" s="208">
        <v>0</v>
      </c>
      <c r="Z13" s="209">
        <v>0</v>
      </c>
      <c r="AA13" s="207"/>
      <c r="AB13" s="206"/>
      <c r="AC13" s="210"/>
      <c r="AD13" s="211">
        <v>0</v>
      </c>
      <c r="AE13" s="220">
        <v>0</v>
      </c>
      <c r="AF13" s="190"/>
      <c r="AG13" s="191"/>
      <c r="AH13" s="191" t="str">
        <f>" " &amp; TEXT(AE13,"#0.00%") &amp; " " &amp; "추가 기능" &amp; " " &amp; IF(P13="","",TEXT(P13,"M/D-")) &amp; IF(Q13="","",TEXT(Q13,"M/D")) &amp; " "</f>
        <v xml:space="preserve"> 0.00% 추가 기능 2/14-2/27 </v>
      </c>
      <c r="AI13" s="191"/>
      <c r="AJ13" s="191"/>
      <c r="AK13" s="191"/>
    </row>
    <row r="14" spans="1:66" ht="12" customHeight="1" outlineLevel="2">
      <c r="A14" s="203"/>
      <c r="B14" s="203"/>
      <c r="C14" s="203">
        <v>3</v>
      </c>
      <c r="D14" s="216" t="s">
        <v>1101</v>
      </c>
      <c r="E14" s="204"/>
      <c r="F14" s="204"/>
      <c r="G14" s="204" t="s">
        <v>1601</v>
      </c>
      <c r="H14" s="204"/>
      <c r="I14" s="204"/>
      <c r="J14" s="204"/>
      <c r="K14" s="204"/>
      <c r="L14" s="204"/>
      <c r="M14" s="204"/>
      <c r="N14" s="204"/>
      <c r="O14" s="204"/>
      <c r="P14" s="205">
        <v>44606</v>
      </c>
      <c r="Q14" s="205">
        <v>44612</v>
      </c>
      <c r="R14" s="206"/>
      <c r="S14" s="207">
        <v>5</v>
      </c>
      <c r="T14" s="207">
        <v>0</v>
      </c>
      <c r="U14" s="207">
        <v>5</v>
      </c>
      <c r="V14" s="207">
        <v>0</v>
      </c>
      <c r="W14" s="205"/>
      <c r="X14" s="205"/>
      <c r="Y14" s="208"/>
      <c r="Z14" s="209">
        <v>0</v>
      </c>
      <c r="AA14" s="207"/>
      <c r="AB14" s="206"/>
      <c r="AC14" s="210"/>
      <c r="AD14" s="211">
        <v>0</v>
      </c>
      <c r="AE14" s="213">
        <v>0</v>
      </c>
      <c r="AF14" s="190"/>
      <c r="AG14" s="191"/>
      <c r="AH14" s="191" t="str">
        <f>" " &amp; TEXT(AE14,"#0.00%") &amp; " " &amp; "구글 캘린더 연동 달력 스케줄링" &amp; " " &amp; IF(P14="","",TEXT(P14,"M/D-")) &amp; IF(Q14="","",TEXT(Q14,"M/D")) &amp; " "</f>
        <v xml:space="preserve"> 0.00% 구글 캘린더 연동 달력 스케줄링 2/14-2/20 </v>
      </c>
      <c r="AI14" s="191"/>
      <c r="AJ14" s="191"/>
      <c r="AK14" s="191"/>
    </row>
    <row r="15" spans="1:66" ht="12" customHeight="1" outlineLevel="2">
      <c r="A15" s="203"/>
      <c r="B15" s="203"/>
      <c r="C15" s="203">
        <v>3</v>
      </c>
      <c r="D15" s="216" t="s">
        <v>1122</v>
      </c>
      <c r="E15" s="204"/>
      <c r="F15" s="204"/>
      <c r="G15" s="204" t="s">
        <v>1598</v>
      </c>
      <c r="H15" s="204"/>
      <c r="I15" s="204"/>
      <c r="J15" s="204"/>
      <c r="K15" s="204"/>
      <c r="L15" s="204"/>
      <c r="M15" s="204"/>
      <c r="N15" s="204"/>
      <c r="O15" s="204"/>
      <c r="P15" s="205">
        <v>44613</v>
      </c>
      <c r="Q15" s="205">
        <v>44619</v>
      </c>
      <c r="R15" s="206"/>
      <c r="S15" s="207">
        <v>5</v>
      </c>
      <c r="T15" s="207">
        <v>0</v>
      </c>
      <c r="U15" s="207">
        <v>5</v>
      </c>
      <c r="V15" s="207">
        <v>0</v>
      </c>
      <c r="W15" s="205"/>
      <c r="X15" s="205"/>
      <c r="Y15" s="208"/>
      <c r="Z15" s="209">
        <v>0</v>
      </c>
      <c r="AA15" s="207"/>
      <c r="AB15" s="206"/>
      <c r="AC15" s="210"/>
      <c r="AD15" s="211">
        <v>0</v>
      </c>
      <c r="AE15" s="213">
        <v>0</v>
      </c>
      <c r="AF15" s="190"/>
      <c r="AG15" s="191"/>
      <c r="AH15" s="191"/>
      <c r="AI15" s="191" t="str">
        <f>" " &amp; TEXT(AE15,"#0.00%") &amp; " " &amp; "간트 차트" &amp; " " &amp; IF(P15="","",TEXT(P15,"M/D-")) &amp; IF(Q15="","",TEXT(Q15,"M/D")) &amp; " "</f>
        <v xml:space="preserve"> 0.00% 간트 차트 2/21-2/27 </v>
      </c>
      <c r="AJ15" s="191"/>
      <c r="AK15" s="191"/>
    </row>
    <row r="16" spans="1:66" ht="12" customHeight="1">
      <c r="A16" s="203"/>
      <c r="B16" s="203" t="s">
        <v>1485</v>
      </c>
      <c r="C16" s="203">
        <v>1</v>
      </c>
      <c r="D16" s="216" t="s">
        <v>1087</v>
      </c>
      <c r="E16" s="204" t="s">
        <v>1595</v>
      </c>
      <c r="F16" s="204"/>
      <c r="G16" s="204"/>
      <c r="H16" s="204"/>
      <c r="I16" s="204"/>
      <c r="J16" s="204"/>
      <c r="K16" s="204"/>
      <c r="L16" s="204"/>
      <c r="M16" s="204"/>
      <c r="N16" s="204"/>
      <c r="O16" s="204"/>
      <c r="P16" s="205">
        <v>44599</v>
      </c>
      <c r="Q16" s="205">
        <v>44619</v>
      </c>
      <c r="R16" s="206"/>
      <c r="S16" s="207">
        <v>15</v>
      </c>
      <c r="T16" s="207">
        <v>0</v>
      </c>
      <c r="U16" s="207">
        <v>15</v>
      </c>
      <c r="V16" s="207">
        <v>0</v>
      </c>
      <c r="W16" s="205"/>
      <c r="X16" s="205"/>
      <c r="Y16" s="208">
        <v>0</v>
      </c>
      <c r="Z16" s="209">
        <v>0</v>
      </c>
      <c r="AA16" s="207"/>
      <c r="AB16" s="206"/>
      <c r="AC16" s="210"/>
      <c r="AD16" s="211">
        <v>0</v>
      </c>
      <c r="AE16" s="220">
        <v>0</v>
      </c>
      <c r="AF16" s="190"/>
      <c r="AG16" s="191" t="str">
        <f>" " &amp; TEXT(AE16,"#0.00%") &amp; " "</f>
        <v xml:space="preserve"> 0.00% </v>
      </c>
      <c r="AH16" s="191"/>
      <c r="AI16" s="191"/>
      <c r="AJ16" s="191" t="str">
        <f>" " &amp; "CSS" &amp; " " &amp; IF(P16="","",TEXT(P16,"M/D-")) &amp; IF(Q16="","",TEXT(Q16,"M/D")) &amp; " "</f>
        <v xml:space="preserve"> CSS 2/7-2/27 </v>
      </c>
      <c r="AK16" s="191"/>
    </row>
    <row r="17" spans="1:37" ht="12" customHeight="1" outlineLevel="1">
      <c r="A17" s="203"/>
      <c r="B17" s="203"/>
      <c r="C17" s="203">
        <v>2</v>
      </c>
      <c r="D17" s="216" t="s">
        <v>1564</v>
      </c>
      <c r="E17" s="204"/>
      <c r="F17" s="204" t="s">
        <v>1596</v>
      </c>
      <c r="G17" s="204"/>
      <c r="H17" s="204"/>
      <c r="I17" s="204"/>
      <c r="J17" s="204"/>
      <c r="K17" s="204"/>
      <c r="L17" s="204"/>
      <c r="M17" s="204"/>
      <c r="N17" s="204"/>
      <c r="O17" s="204"/>
      <c r="P17" s="205">
        <v>44599</v>
      </c>
      <c r="Q17" s="205">
        <v>44599</v>
      </c>
      <c r="R17" s="206"/>
      <c r="S17" s="207">
        <v>1</v>
      </c>
      <c r="T17" s="207">
        <v>0</v>
      </c>
      <c r="U17" s="207">
        <v>1</v>
      </c>
      <c r="V17" s="207">
        <v>0</v>
      </c>
      <c r="W17" s="205"/>
      <c r="X17" s="205"/>
      <c r="Y17" s="208"/>
      <c r="Z17" s="209">
        <v>0</v>
      </c>
      <c r="AA17" s="207"/>
      <c r="AB17" s="206"/>
      <c r="AC17" s="210"/>
      <c r="AD17" s="211">
        <v>0</v>
      </c>
      <c r="AE17" s="213">
        <v>0</v>
      </c>
      <c r="AF17" s="190"/>
      <c r="AG17" s="191" t="str">
        <f>" " &amp; TEXT(AE17,"#0.00%") &amp; " " &amp; "레이아웃" &amp; " " &amp; IF(P17="","",TEXT(P17,"M/D-")) &amp; IF(Q17="","",TEXT(Q17,"M/D")) &amp; " "</f>
        <v xml:space="preserve"> 0.00% 레이아웃 2/7-2/7 </v>
      </c>
      <c r="AH17" s="191"/>
      <c r="AI17" s="191"/>
      <c r="AJ17" s="191"/>
      <c r="AK17" s="191"/>
    </row>
    <row r="18" spans="1:37" ht="12" customHeight="1" outlineLevel="1">
      <c r="A18" s="203"/>
      <c r="B18" s="203" t="s">
        <v>1485</v>
      </c>
      <c r="C18" s="203">
        <v>2</v>
      </c>
      <c r="D18" s="216" t="s">
        <v>1565</v>
      </c>
      <c r="E18" s="204"/>
      <c r="F18" s="204" t="s">
        <v>1599</v>
      </c>
      <c r="G18" s="204"/>
      <c r="H18" s="204"/>
      <c r="I18" s="204"/>
      <c r="J18" s="204"/>
      <c r="K18" s="204"/>
      <c r="L18" s="204"/>
      <c r="M18" s="204"/>
      <c r="N18" s="204"/>
      <c r="O18" s="204"/>
      <c r="P18" s="205">
        <v>44600</v>
      </c>
      <c r="Q18" s="205">
        <v>44619</v>
      </c>
      <c r="R18" s="206"/>
      <c r="S18" s="207">
        <v>14</v>
      </c>
      <c r="T18" s="207">
        <v>0</v>
      </c>
      <c r="U18" s="207">
        <v>14</v>
      </c>
      <c r="V18" s="207">
        <v>0</v>
      </c>
      <c r="W18" s="205"/>
      <c r="X18" s="205"/>
      <c r="Y18" s="208">
        <v>0</v>
      </c>
      <c r="Z18" s="209">
        <v>0</v>
      </c>
      <c r="AA18" s="207"/>
      <c r="AB18" s="206"/>
      <c r="AC18" s="210"/>
      <c r="AD18" s="211">
        <v>0</v>
      </c>
      <c r="AE18" s="220">
        <v>0</v>
      </c>
      <c r="AF18" s="190"/>
      <c r="AG18" s="191" t="str">
        <f>"  " &amp; TEXT(AE18,"#0.00%") &amp; " "</f>
        <v xml:space="preserve">  0.00% </v>
      </c>
      <c r="AH18" s="191"/>
      <c r="AI18" s="191"/>
      <c r="AJ18" s="191" t="str">
        <f>" " &amp; "애니메이션 / 액션" &amp; " " &amp; IF(P18="","",TEXT(P18,"M/D-")) &amp; IF(Q18="","",TEXT(Q18,"M/D")) &amp; " "</f>
        <v xml:space="preserve"> 애니메이션 / 액션 2/8-2/27 </v>
      </c>
      <c r="AK18" s="191"/>
    </row>
    <row r="19" spans="1:37" ht="12" customHeight="1" outlineLevel="2">
      <c r="A19" s="203"/>
      <c r="B19" s="203"/>
      <c r="C19" s="203">
        <v>3</v>
      </c>
      <c r="D19" s="216" t="s">
        <v>1519</v>
      </c>
      <c r="E19" s="204"/>
      <c r="F19" s="204"/>
      <c r="G19" s="204" t="s">
        <v>1600</v>
      </c>
      <c r="H19" s="204"/>
      <c r="I19" s="204"/>
      <c r="J19" s="204"/>
      <c r="K19" s="204"/>
      <c r="L19" s="204"/>
      <c r="M19" s="204"/>
      <c r="N19" s="204"/>
      <c r="O19" s="204"/>
      <c r="P19" s="205">
        <v>44600</v>
      </c>
      <c r="Q19" s="205">
        <v>44619</v>
      </c>
      <c r="R19" s="206"/>
      <c r="S19" s="207">
        <v>14</v>
      </c>
      <c r="T19" s="207">
        <v>0</v>
      </c>
      <c r="U19" s="207">
        <v>14</v>
      </c>
      <c r="V19" s="207">
        <v>0</v>
      </c>
      <c r="W19" s="205"/>
      <c r="X19" s="205"/>
      <c r="Y19" s="208"/>
      <c r="Z19" s="209">
        <v>0</v>
      </c>
      <c r="AA19" s="207"/>
      <c r="AB19" s="206"/>
      <c r="AC19" s="210"/>
      <c r="AD19" s="211">
        <v>0</v>
      </c>
      <c r="AE19" s="213">
        <v>0</v>
      </c>
      <c r="AF19" s="190"/>
      <c r="AG19" s="191" t="str">
        <f>"  " &amp; TEXT(AE19,"#0.00%") &amp; " "</f>
        <v xml:space="preserve">  0.00% </v>
      </c>
      <c r="AH19" s="191"/>
      <c r="AI19" s="191"/>
      <c r="AJ19" s="191" t="str">
        <f>" " &amp; "드래그 앤 드랍" &amp; " " &amp; IF(P19="","",TEXT(P19,"M/D-")) &amp; IF(Q19="","",TEXT(Q19,"M/D")) &amp; " "</f>
        <v xml:space="preserve"> 드래그 앤 드랍 2/8-2/27 </v>
      </c>
      <c r="AK19" s="191"/>
    </row>
    <row r="20" spans="1:37" ht="12" customHeight="1">
      <c r="A20" s="192"/>
      <c r="B20" s="192"/>
      <c r="C20" s="192"/>
      <c r="D20" s="193"/>
      <c r="E20" s="194"/>
      <c r="F20" s="194"/>
      <c r="G20" s="194"/>
      <c r="H20" s="194"/>
      <c r="I20" s="194"/>
      <c r="J20" s="194"/>
      <c r="K20" s="194"/>
      <c r="L20" s="194"/>
      <c r="M20" s="194"/>
      <c r="N20" s="194"/>
      <c r="O20" s="194"/>
      <c r="P20" s="195"/>
      <c r="Q20" s="195"/>
      <c r="R20" s="196"/>
      <c r="S20" s="197"/>
      <c r="T20" s="197"/>
      <c r="U20" s="197"/>
      <c r="V20" s="197"/>
      <c r="W20" s="195"/>
      <c r="X20" s="195"/>
      <c r="Y20" s="198"/>
      <c r="Z20" s="199"/>
      <c r="AA20" s="197"/>
      <c r="AB20" s="196"/>
      <c r="AC20" s="200"/>
      <c r="AD20" s="201"/>
      <c r="AE20" s="202"/>
      <c r="AF20" s="189"/>
      <c r="AG20" s="189"/>
      <c r="AH20" s="189"/>
      <c r="AI20" s="189"/>
      <c r="AJ20" s="189"/>
      <c r="AK20" s="189"/>
    </row>
  </sheetData>
  <sheetProtection formatCells="0" formatColumns="0" formatRows="0" insertColumns="0" insertRows="0" insertHyperlinks="0" deleteColumns="0" deleteRows="0" sort="0" autoFilter="0" pivotTables="0"/>
  <dataConsolidate/>
  <mergeCells count="27">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19">
    <cfRule type="expression" dxfId="1" priority="2">
      <formula>($B5="G")</formula>
    </cfRule>
    <cfRule type="expression" dxfId="0" priority="1">
      <formula>($AE5=1)</formula>
    </cfRule>
  </conditionalFormatting>
  <hyperlinks>
    <hyperlink ref="AF1:BJ1" r:id="rId1" display="https://xlworks.net/xlgantt-project-scheduler/" xr:uid="{4DA0D10B-D12D-4FFA-8EE7-2CF95E8AE1A2}"/>
  </hyperlinks>
  <pageMargins left="0.19685039370078741" right="0.23622047244094491" top="0.43307086614173229" bottom="0.23622047244094491" header="0.23622047244094491" footer="0.19685039370078741"/>
  <pageSetup paperSize="9" scale="82"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0"/>
      <c r="M1" s="291"/>
      <c r="N1" s="291"/>
      <c r="O1" s="3"/>
      <c r="P1" s="3"/>
      <c r="Q1" s="3"/>
    </row>
    <row r="2" spans="1:17" s="7" customFormat="1" ht="12.75">
      <c r="A2" s="5" t="s">
        <v>1454</v>
      </c>
      <c r="B2" s="6"/>
    </row>
    <row r="3" spans="1:17" s="7" customFormat="1" ht="12.75">
      <c r="A3" s="5" t="s">
        <v>1455</v>
      </c>
      <c r="B3" s="6"/>
    </row>
    <row r="4" spans="1:17" s="7" customFormat="1" ht="12.75">
      <c r="A4" s="292"/>
      <c r="B4" s="292"/>
      <c r="C4" s="8"/>
      <c r="D4" s="9"/>
      <c r="E4" s="9"/>
      <c r="F4" s="9"/>
    </row>
    <row r="5" spans="1:17" s="15" customFormat="1" ht="12.75">
      <c r="A5" s="10"/>
      <c r="B5" s="11"/>
      <c r="C5" s="12"/>
      <c r="D5" s="13"/>
      <c r="E5" s="14"/>
      <c r="F5" s="14"/>
      <c r="G5" s="14"/>
    </row>
    <row r="6" spans="1:17" s="15" customFormat="1" ht="12.75">
      <c r="A6" s="16" t="s">
        <v>1456</v>
      </c>
      <c r="B6" s="17">
        <v>35</v>
      </c>
      <c r="C6" s="15" t="s">
        <v>0</v>
      </c>
      <c r="D6" s="289" t="s">
        <v>1457</v>
      </c>
      <c r="E6" s="289"/>
      <c r="F6" s="289"/>
      <c r="G6" s="28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5</v>
      </c>
      <c r="C9" s="15" t="s">
        <v>0</v>
      </c>
      <c r="D9" s="288" t="s">
        <v>1459</v>
      </c>
      <c r="E9" s="288"/>
      <c r="F9" s="288"/>
      <c r="G9" s="28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0</v>
      </c>
      <c r="C12" s="15" t="s">
        <v>0</v>
      </c>
      <c r="D12" s="293" t="s">
        <v>1453</v>
      </c>
      <c r="E12" s="288"/>
      <c r="F12" s="288"/>
      <c r="G12" s="28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88" t="s">
        <v>1461</v>
      </c>
      <c r="E15" s="288"/>
      <c r="F15" s="288"/>
      <c r="G15" s="28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0.14285714285714285</v>
      </c>
      <c r="D18" s="288" t="s">
        <v>1463</v>
      </c>
      <c r="E18" s="288"/>
      <c r="F18" s="288"/>
      <c r="G18" s="28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v>
      </c>
      <c r="D21" s="288" t="s">
        <v>1465</v>
      </c>
      <c r="E21" s="288"/>
      <c r="F21" s="288"/>
      <c r="G21" s="28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-0.14285714285714285</v>
      </c>
      <c r="D24" s="289" t="s">
        <v>1467</v>
      </c>
      <c r="E24" s="289"/>
      <c r="F24" s="289"/>
      <c r="G24" s="28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21"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3" t="s">
        <v>1579</v>
      </c>
      <c r="G6" s="224" t="s">
        <v>1580</v>
      </c>
      <c r="H6" s="224" t="s">
        <v>1581</v>
      </c>
      <c r="I6" s="224" t="s">
        <v>1582</v>
      </c>
      <c r="J6" s="224" t="s">
        <v>771</v>
      </c>
      <c r="K6" s="224" t="s">
        <v>601</v>
      </c>
      <c r="L6" s="225" t="s">
        <v>915</v>
      </c>
    </row>
    <row r="7" spans="1:12" outlineLevel="2">
      <c r="A7" s="226" t="s">
        <v>1486</v>
      </c>
      <c r="B7" s="227" t="s">
        <v>1504</v>
      </c>
      <c r="C7" s="226" t="s">
        <v>1505</v>
      </c>
      <c r="D7" s="228">
        <v>44358</v>
      </c>
      <c r="E7" s="228">
        <v>44358</v>
      </c>
      <c r="F7" s="221">
        <v>1</v>
      </c>
      <c r="G7" s="92">
        <v>1</v>
      </c>
      <c r="H7" s="92">
        <v>0</v>
      </c>
      <c r="I7" s="92">
        <v>0</v>
      </c>
      <c r="J7" s="221">
        <v>0</v>
      </c>
      <c r="K7" s="221">
        <v>0</v>
      </c>
      <c r="L7" s="221">
        <f t="shared" ref="L7:L51" si="0">K7-J7</f>
        <v>0</v>
      </c>
    </row>
    <row r="8" spans="1:12" outlineLevel="2">
      <c r="A8" s="226" t="s">
        <v>1486</v>
      </c>
      <c r="B8" s="227" t="s">
        <v>1510</v>
      </c>
      <c r="C8" s="226" t="s">
        <v>1511</v>
      </c>
      <c r="D8" s="228">
        <v>44487</v>
      </c>
      <c r="E8" s="228">
        <v>44487</v>
      </c>
      <c r="F8" s="221">
        <v>0</v>
      </c>
      <c r="G8" s="92">
        <v>0</v>
      </c>
      <c r="H8" s="92">
        <v>0</v>
      </c>
      <c r="I8" s="92">
        <v>0</v>
      </c>
      <c r="J8" s="221">
        <v>0</v>
      </c>
      <c r="K8" s="221">
        <v>0</v>
      </c>
      <c r="L8" s="221">
        <f t="shared" si="0"/>
        <v>0</v>
      </c>
    </row>
    <row r="9" spans="1:12" outlineLevel="2">
      <c r="A9" s="226" t="s">
        <v>1486</v>
      </c>
      <c r="B9" s="227" t="s">
        <v>1512</v>
      </c>
      <c r="C9" s="226" t="s">
        <v>1513</v>
      </c>
      <c r="D9" s="228">
        <v>44340</v>
      </c>
      <c r="E9" s="228">
        <v>44358</v>
      </c>
      <c r="F9" s="221">
        <v>1</v>
      </c>
      <c r="G9" s="92">
        <v>15</v>
      </c>
      <c r="H9" s="92">
        <v>7</v>
      </c>
      <c r="I9" s="92">
        <v>15</v>
      </c>
      <c r="J9" s="221">
        <v>0.46666666666666667</v>
      </c>
      <c r="K9" s="221">
        <v>1</v>
      </c>
      <c r="L9" s="221">
        <f t="shared" si="0"/>
        <v>0.53333333333333333</v>
      </c>
    </row>
    <row r="10" spans="1:12" outlineLevel="2">
      <c r="A10" s="226" t="s">
        <v>1486</v>
      </c>
      <c r="B10" s="227" t="s">
        <v>1515</v>
      </c>
      <c r="C10" s="226" t="s">
        <v>1516</v>
      </c>
      <c r="D10" s="228">
        <v>44346</v>
      </c>
      <c r="E10" s="228">
        <v>44357</v>
      </c>
      <c r="F10" s="221">
        <v>1</v>
      </c>
      <c r="G10" s="92">
        <v>9</v>
      </c>
      <c r="H10" s="92">
        <v>2</v>
      </c>
      <c r="I10" s="92">
        <v>1.8</v>
      </c>
      <c r="J10" s="221">
        <v>0.22222222222222221</v>
      </c>
      <c r="K10" s="221">
        <v>0.2</v>
      </c>
      <c r="L10" s="237">
        <f t="shared" si="0"/>
        <v>-2.2222222222222199E-2</v>
      </c>
    </row>
    <row r="11" spans="1:12" outlineLevel="2">
      <c r="A11" s="226" t="s">
        <v>1486</v>
      </c>
      <c r="B11" s="227" t="s">
        <v>1519</v>
      </c>
      <c r="C11" s="226" t="s">
        <v>1520</v>
      </c>
      <c r="D11" s="228">
        <v>44360</v>
      </c>
      <c r="E11" s="228">
        <v>44378</v>
      </c>
      <c r="F11" s="221">
        <v>1</v>
      </c>
      <c r="G11" s="92">
        <v>14</v>
      </c>
      <c r="H11" s="92">
        <v>0</v>
      </c>
      <c r="I11" s="92">
        <v>0</v>
      </c>
      <c r="J11" s="221">
        <v>0</v>
      </c>
      <c r="K11" s="221">
        <v>0</v>
      </c>
      <c r="L11" s="221">
        <f t="shared" si="0"/>
        <v>0</v>
      </c>
    </row>
    <row r="12" spans="1:12" outlineLevel="2">
      <c r="A12" s="226" t="s">
        <v>1486</v>
      </c>
      <c r="B12" s="227" t="s">
        <v>1522</v>
      </c>
      <c r="C12" s="226" t="s">
        <v>1523</v>
      </c>
      <c r="D12" s="228">
        <v>44367</v>
      </c>
      <c r="E12" s="228">
        <v>44378</v>
      </c>
      <c r="F12" s="221">
        <v>1</v>
      </c>
      <c r="G12" s="92">
        <v>9</v>
      </c>
      <c r="H12" s="92">
        <v>0</v>
      </c>
      <c r="I12" s="92">
        <v>0</v>
      </c>
      <c r="J12" s="221">
        <v>0</v>
      </c>
      <c r="K12" s="221">
        <v>0</v>
      </c>
      <c r="L12" s="221">
        <f t="shared" si="0"/>
        <v>0</v>
      </c>
    </row>
    <row r="13" spans="1:12" outlineLevel="2">
      <c r="A13" s="226" t="s">
        <v>1486</v>
      </c>
      <c r="B13" s="227" t="s">
        <v>1524</v>
      </c>
      <c r="C13" s="226" t="s">
        <v>1525</v>
      </c>
      <c r="D13" s="228">
        <v>44374</v>
      </c>
      <c r="E13" s="228">
        <v>44385</v>
      </c>
      <c r="F13" s="221">
        <v>1</v>
      </c>
      <c r="G13" s="92">
        <v>9</v>
      </c>
      <c r="H13" s="92">
        <v>0</v>
      </c>
      <c r="I13" s="92">
        <v>0</v>
      </c>
      <c r="J13" s="221">
        <v>0</v>
      </c>
      <c r="K13" s="221">
        <v>0</v>
      </c>
      <c r="L13" s="221">
        <f t="shared" si="0"/>
        <v>0</v>
      </c>
    </row>
    <row r="14" spans="1:12" outlineLevel="2">
      <c r="A14" s="226" t="s">
        <v>1486</v>
      </c>
      <c r="B14" s="227" t="s">
        <v>1526</v>
      </c>
      <c r="C14" s="226" t="s">
        <v>1527</v>
      </c>
      <c r="D14" s="228">
        <v>44374</v>
      </c>
      <c r="E14" s="228">
        <v>44392</v>
      </c>
      <c r="F14" s="221">
        <v>1</v>
      </c>
      <c r="G14" s="92">
        <v>14</v>
      </c>
      <c r="H14" s="92">
        <v>0</v>
      </c>
      <c r="I14" s="92">
        <v>0</v>
      </c>
      <c r="J14" s="221">
        <v>0</v>
      </c>
      <c r="K14" s="221">
        <v>0</v>
      </c>
      <c r="L14" s="221">
        <f t="shared" si="0"/>
        <v>0</v>
      </c>
    </row>
    <row r="15" spans="1:12" outlineLevel="2">
      <c r="A15" s="226" t="s">
        <v>1486</v>
      </c>
      <c r="B15" s="227" t="s">
        <v>1528</v>
      </c>
      <c r="C15" s="226" t="s">
        <v>1529</v>
      </c>
      <c r="D15" s="228">
        <v>44395</v>
      </c>
      <c r="E15" s="228">
        <v>44399</v>
      </c>
      <c r="F15" s="221">
        <v>1</v>
      </c>
      <c r="G15" s="92">
        <v>4</v>
      </c>
      <c r="H15" s="92">
        <v>0</v>
      </c>
      <c r="I15" s="92">
        <v>0</v>
      </c>
      <c r="J15" s="221">
        <v>0</v>
      </c>
      <c r="K15" s="221">
        <v>0</v>
      </c>
      <c r="L15" s="221">
        <f t="shared" si="0"/>
        <v>0</v>
      </c>
    </row>
    <row r="16" spans="1:12" outlineLevel="2">
      <c r="A16" s="226" t="s">
        <v>1486</v>
      </c>
      <c r="B16" s="227" t="s">
        <v>1531</v>
      </c>
      <c r="C16" s="226" t="s">
        <v>1532</v>
      </c>
      <c r="D16" s="228">
        <v>44395</v>
      </c>
      <c r="E16" s="228">
        <v>44399</v>
      </c>
      <c r="F16" s="221">
        <v>1</v>
      </c>
      <c r="G16" s="92">
        <v>4</v>
      </c>
      <c r="H16" s="92">
        <v>0</v>
      </c>
      <c r="I16" s="92">
        <v>0</v>
      </c>
      <c r="J16" s="221">
        <v>0</v>
      </c>
      <c r="K16" s="221">
        <v>0</v>
      </c>
      <c r="L16" s="221">
        <f t="shared" si="0"/>
        <v>0</v>
      </c>
    </row>
    <row r="17" spans="1:12" outlineLevel="2">
      <c r="A17" s="226" t="s">
        <v>1486</v>
      </c>
      <c r="B17" s="227" t="s">
        <v>1535</v>
      </c>
      <c r="C17" s="226" t="s">
        <v>1536</v>
      </c>
      <c r="D17" s="228">
        <v>44395</v>
      </c>
      <c r="E17" s="228">
        <v>44399</v>
      </c>
      <c r="F17" s="221">
        <v>1</v>
      </c>
      <c r="G17" s="92">
        <v>4</v>
      </c>
      <c r="H17" s="92">
        <v>0</v>
      </c>
      <c r="I17" s="92">
        <v>0</v>
      </c>
      <c r="J17" s="221">
        <v>0</v>
      </c>
      <c r="K17" s="221">
        <v>0</v>
      </c>
      <c r="L17" s="221">
        <f t="shared" si="0"/>
        <v>0</v>
      </c>
    </row>
    <row r="18" spans="1:12" outlineLevel="2">
      <c r="A18" s="226" t="s">
        <v>1486</v>
      </c>
      <c r="B18" s="227" t="s">
        <v>1537</v>
      </c>
      <c r="C18" s="226" t="s">
        <v>1538</v>
      </c>
      <c r="D18" s="228">
        <v>44402</v>
      </c>
      <c r="E18" s="228">
        <v>44406</v>
      </c>
      <c r="F18" s="221">
        <v>1</v>
      </c>
      <c r="G18" s="92">
        <v>4</v>
      </c>
      <c r="H18" s="92">
        <v>0</v>
      </c>
      <c r="I18" s="92">
        <v>0</v>
      </c>
      <c r="J18" s="221">
        <v>0</v>
      </c>
      <c r="K18" s="221">
        <v>0</v>
      </c>
      <c r="L18" s="221">
        <f t="shared" si="0"/>
        <v>0</v>
      </c>
    </row>
    <row r="19" spans="1:12" outlineLevel="2">
      <c r="A19" s="226" t="s">
        <v>1486</v>
      </c>
      <c r="B19" s="227" t="s">
        <v>1539</v>
      </c>
      <c r="C19" s="226" t="s">
        <v>1540</v>
      </c>
      <c r="D19" s="228">
        <v>44402</v>
      </c>
      <c r="E19" s="228">
        <v>44413</v>
      </c>
      <c r="F19" s="221">
        <v>1</v>
      </c>
      <c r="G19" s="92">
        <v>9</v>
      </c>
      <c r="H19" s="92">
        <v>0</v>
      </c>
      <c r="I19" s="92">
        <v>0</v>
      </c>
      <c r="J19" s="221">
        <v>0</v>
      </c>
      <c r="K19" s="221">
        <v>0</v>
      </c>
      <c r="L19" s="221">
        <f t="shared" si="0"/>
        <v>0</v>
      </c>
    </row>
    <row r="20" spans="1:12" outlineLevel="2">
      <c r="A20" s="226" t="s">
        <v>1486</v>
      </c>
      <c r="B20" s="227" t="s">
        <v>1541</v>
      </c>
      <c r="C20" s="226" t="s">
        <v>1542</v>
      </c>
      <c r="D20" s="228">
        <v>44395</v>
      </c>
      <c r="E20" s="228">
        <v>44454</v>
      </c>
      <c r="F20" s="221">
        <v>1</v>
      </c>
      <c r="G20" s="92">
        <v>43</v>
      </c>
      <c r="H20" s="92">
        <v>0</v>
      </c>
      <c r="I20" s="92">
        <v>0</v>
      </c>
      <c r="J20" s="221">
        <v>0</v>
      </c>
      <c r="K20" s="221">
        <v>0</v>
      </c>
      <c r="L20" s="221">
        <f t="shared" si="0"/>
        <v>0</v>
      </c>
    </row>
    <row r="21" spans="1:12" outlineLevel="2">
      <c r="A21" s="226" t="s">
        <v>1486</v>
      </c>
      <c r="B21" s="227" t="s">
        <v>1543</v>
      </c>
      <c r="C21" s="226" t="s">
        <v>1544</v>
      </c>
      <c r="D21" s="228">
        <v>44395</v>
      </c>
      <c r="E21" s="228">
        <v>44454</v>
      </c>
      <c r="F21" s="221">
        <v>1</v>
      </c>
      <c r="G21" s="92">
        <v>43</v>
      </c>
      <c r="H21" s="92">
        <v>0</v>
      </c>
      <c r="I21" s="92">
        <v>0</v>
      </c>
      <c r="J21" s="221">
        <v>0</v>
      </c>
      <c r="K21" s="221">
        <v>0</v>
      </c>
      <c r="L21" s="221">
        <f t="shared" si="0"/>
        <v>0</v>
      </c>
    </row>
    <row r="22" spans="1:12" outlineLevel="2">
      <c r="A22" s="226" t="s">
        <v>1486</v>
      </c>
      <c r="B22" s="227" t="s">
        <v>1545</v>
      </c>
      <c r="C22" s="226" t="s">
        <v>1546</v>
      </c>
      <c r="D22" s="228">
        <v>44409</v>
      </c>
      <c r="E22" s="228">
        <v>44454</v>
      </c>
      <c r="F22" s="221">
        <v>1</v>
      </c>
      <c r="G22" s="92">
        <v>33</v>
      </c>
      <c r="H22" s="92">
        <v>0</v>
      </c>
      <c r="I22" s="92">
        <v>0</v>
      </c>
      <c r="J22" s="221">
        <v>0</v>
      </c>
      <c r="K22" s="221">
        <v>0</v>
      </c>
      <c r="L22" s="221">
        <f t="shared" si="0"/>
        <v>0</v>
      </c>
    </row>
    <row r="23" spans="1:12" outlineLevel="2">
      <c r="A23" s="226" t="s">
        <v>1486</v>
      </c>
      <c r="B23" s="227" t="s">
        <v>1548</v>
      </c>
      <c r="C23" s="226" t="s">
        <v>1549</v>
      </c>
      <c r="D23" s="228">
        <v>44437</v>
      </c>
      <c r="E23" s="228">
        <v>44455</v>
      </c>
      <c r="F23" s="221">
        <v>1</v>
      </c>
      <c r="G23" s="92">
        <v>14</v>
      </c>
      <c r="H23" s="92">
        <v>0</v>
      </c>
      <c r="I23" s="92">
        <v>0</v>
      </c>
      <c r="J23" s="221">
        <v>0</v>
      </c>
      <c r="K23" s="221">
        <v>0</v>
      </c>
      <c r="L23" s="221">
        <f t="shared" si="0"/>
        <v>0</v>
      </c>
    </row>
    <row r="24" spans="1:12" outlineLevel="2">
      <c r="A24" s="226" t="s">
        <v>1486</v>
      </c>
      <c r="B24" s="227" t="s">
        <v>1550</v>
      </c>
      <c r="C24" s="226" t="s">
        <v>1551</v>
      </c>
      <c r="D24" s="228">
        <v>44458</v>
      </c>
      <c r="E24" s="228">
        <v>44462</v>
      </c>
      <c r="F24" s="221">
        <v>1</v>
      </c>
      <c r="G24" s="92">
        <v>1</v>
      </c>
      <c r="H24" s="92">
        <v>0</v>
      </c>
      <c r="I24" s="92">
        <v>0</v>
      </c>
      <c r="J24" s="221">
        <v>0</v>
      </c>
      <c r="K24" s="221">
        <v>0</v>
      </c>
      <c r="L24" s="221">
        <f t="shared" si="0"/>
        <v>0</v>
      </c>
    </row>
    <row r="25" spans="1:12" outlineLevel="2">
      <c r="A25" s="226" t="s">
        <v>1486</v>
      </c>
      <c r="B25" s="227" t="s">
        <v>1553</v>
      </c>
      <c r="C25" s="226" t="s">
        <v>1554</v>
      </c>
      <c r="D25" s="228">
        <v>44458</v>
      </c>
      <c r="E25" s="228">
        <v>44460</v>
      </c>
      <c r="F25" s="221">
        <v>1</v>
      </c>
      <c r="G25" s="92">
        <v>0</v>
      </c>
      <c r="H25" s="92">
        <v>0</v>
      </c>
      <c r="I25" s="92">
        <v>0</v>
      </c>
      <c r="J25" s="221">
        <v>0</v>
      </c>
      <c r="K25" s="221">
        <v>0</v>
      </c>
      <c r="L25" s="221">
        <f t="shared" si="0"/>
        <v>0</v>
      </c>
    </row>
    <row r="26" spans="1:12" outlineLevel="2">
      <c r="A26" s="226" t="s">
        <v>1486</v>
      </c>
      <c r="B26" s="227" t="s">
        <v>1556</v>
      </c>
      <c r="C26" s="226" t="s">
        <v>1557</v>
      </c>
      <c r="D26" s="228">
        <v>44462</v>
      </c>
      <c r="E26" s="228">
        <v>44464</v>
      </c>
      <c r="F26" s="221">
        <v>1</v>
      </c>
      <c r="G26" s="92">
        <v>2</v>
      </c>
      <c r="H26" s="92">
        <v>0</v>
      </c>
      <c r="I26" s="92">
        <v>0</v>
      </c>
      <c r="J26" s="221">
        <v>0</v>
      </c>
      <c r="K26" s="221">
        <v>0</v>
      </c>
      <c r="L26" s="221">
        <f t="shared" si="0"/>
        <v>0</v>
      </c>
    </row>
    <row r="27" spans="1:12" outlineLevel="2">
      <c r="A27" s="226" t="s">
        <v>1486</v>
      </c>
      <c r="B27" s="227" t="s">
        <v>1558</v>
      </c>
      <c r="C27" s="226" t="s">
        <v>1559</v>
      </c>
      <c r="D27" s="228">
        <v>44462</v>
      </c>
      <c r="E27" s="228">
        <v>44464</v>
      </c>
      <c r="F27" s="221">
        <v>1</v>
      </c>
      <c r="G27" s="92">
        <v>2</v>
      </c>
      <c r="H27" s="92">
        <v>0</v>
      </c>
      <c r="I27" s="92">
        <v>0</v>
      </c>
      <c r="J27" s="221">
        <v>0</v>
      </c>
      <c r="K27" s="221">
        <v>0</v>
      </c>
      <c r="L27" s="221">
        <f t="shared" si="0"/>
        <v>0</v>
      </c>
    </row>
    <row r="28" spans="1:12" outlineLevel="2">
      <c r="A28" s="226" t="s">
        <v>1486</v>
      </c>
      <c r="B28" s="227" t="s">
        <v>1560</v>
      </c>
      <c r="C28" s="226" t="s">
        <v>1561</v>
      </c>
      <c r="D28" s="228">
        <v>44462</v>
      </c>
      <c r="E28" s="228">
        <v>44464</v>
      </c>
      <c r="F28" s="221">
        <v>1</v>
      </c>
      <c r="G28" s="92">
        <v>2</v>
      </c>
      <c r="H28" s="92">
        <v>0</v>
      </c>
      <c r="I28" s="92">
        <v>0</v>
      </c>
      <c r="J28" s="221">
        <v>0</v>
      </c>
      <c r="K28" s="221">
        <v>0</v>
      </c>
      <c r="L28" s="221">
        <f t="shared" si="0"/>
        <v>0</v>
      </c>
    </row>
    <row r="29" spans="1:12" outlineLevel="2">
      <c r="A29" s="226" t="s">
        <v>1486</v>
      </c>
      <c r="B29" s="227" t="s">
        <v>1562</v>
      </c>
      <c r="C29" s="226" t="s">
        <v>1563</v>
      </c>
      <c r="D29" s="228">
        <v>44465</v>
      </c>
      <c r="E29" s="228">
        <v>44465</v>
      </c>
      <c r="F29" s="221">
        <v>0</v>
      </c>
      <c r="G29" s="92">
        <v>0</v>
      </c>
      <c r="H29" s="92">
        <v>0</v>
      </c>
      <c r="I29" s="92">
        <v>0</v>
      </c>
      <c r="J29" s="221">
        <v>0</v>
      </c>
      <c r="K29" s="221">
        <v>0</v>
      </c>
      <c r="L29" s="221">
        <f t="shared" si="0"/>
        <v>0</v>
      </c>
    </row>
    <row r="30" spans="1:12" outlineLevel="1">
      <c r="A30" s="229" t="s">
        <v>1583</v>
      </c>
      <c r="B30" s="230"/>
      <c r="C30" s="231"/>
      <c r="D30" s="232"/>
      <c r="E30" s="232"/>
      <c r="F30" s="233"/>
      <c r="G30" s="234">
        <f>SUBTOTAL(9,G7:G29)</f>
        <v>236</v>
      </c>
      <c r="H30" s="234">
        <f>SUBTOTAL(9,H7:H29)</f>
        <v>9</v>
      </c>
      <c r="I30" s="234">
        <f>SUBTOTAL(9,I7:I29)</f>
        <v>16.8</v>
      </c>
      <c r="J30" s="233">
        <f>H30/G30</f>
        <v>3.8135593220338986E-2</v>
      </c>
      <c r="K30" s="233">
        <f>I30/G30</f>
        <v>7.1186440677966104E-2</v>
      </c>
      <c r="L30" s="233">
        <f t="shared" si="0"/>
        <v>3.3050847457627118E-2</v>
      </c>
    </row>
    <row r="31" spans="1:12" outlineLevel="2">
      <c r="A31" s="226" t="s">
        <v>1336</v>
      </c>
      <c r="B31" s="227" t="s">
        <v>1098</v>
      </c>
      <c r="C31" s="226" t="s">
        <v>1495</v>
      </c>
      <c r="D31" s="228">
        <v>44336</v>
      </c>
      <c r="E31" s="228">
        <v>44337</v>
      </c>
      <c r="F31" s="221">
        <v>1</v>
      </c>
      <c r="G31" s="92">
        <v>2</v>
      </c>
      <c r="H31" s="92">
        <v>2</v>
      </c>
      <c r="I31" s="92">
        <v>2</v>
      </c>
      <c r="J31" s="221">
        <v>1</v>
      </c>
      <c r="K31" s="221">
        <v>1</v>
      </c>
      <c r="L31" s="221">
        <f t="shared" si="0"/>
        <v>0</v>
      </c>
    </row>
    <row r="32" spans="1:12" outlineLevel="2">
      <c r="A32" s="226" t="s">
        <v>1336</v>
      </c>
      <c r="B32" s="227" t="s">
        <v>1103</v>
      </c>
      <c r="C32" s="226" t="s">
        <v>1506</v>
      </c>
      <c r="D32" s="228">
        <v>44462</v>
      </c>
      <c r="E32" s="228">
        <v>44466</v>
      </c>
      <c r="F32" s="221">
        <v>1</v>
      </c>
      <c r="G32" s="92">
        <v>3</v>
      </c>
      <c r="H32" s="92">
        <v>0</v>
      </c>
      <c r="I32" s="92">
        <v>0</v>
      </c>
      <c r="J32" s="221">
        <v>0</v>
      </c>
      <c r="K32" s="221">
        <v>0</v>
      </c>
      <c r="L32" s="221">
        <f t="shared" si="0"/>
        <v>0</v>
      </c>
    </row>
    <row r="33" spans="1:12" outlineLevel="1">
      <c r="A33" s="229" t="s">
        <v>1584</v>
      </c>
      <c r="B33" s="230"/>
      <c r="C33" s="231"/>
      <c r="D33" s="232"/>
      <c r="E33" s="232"/>
      <c r="F33" s="233"/>
      <c r="G33" s="234">
        <f>SUBTOTAL(9,G31:G32)</f>
        <v>5</v>
      </c>
      <c r="H33" s="234">
        <f>SUBTOTAL(9,H31:H32)</f>
        <v>2</v>
      </c>
      <c r="I33" s="234">
        <f>SUBTOTAL(9,I31:I32)</f>
        <v>2</v>
      </c>
      <c r="J33" s="233">
        <f>H33/G33</f>
        <v>0.4</v>
      </c>
      <c r="K33" s="233">
        <f>I33/G33</f>
        <v>0.4</v>
      </c>
      <c r="L33" s="233">
        <f t="shared" si="0"/>
        <v>0</v>
      </c>
    </row>
    <row r="34" spans="1:12" outlineLevel="2">
      <c r="A34" s="226" t="s">
        <v>1370</v>
      </c>
      <c r="B34" s="227" t="s">
        <v>1508</v>
      </c>
      <c r="C34" s="226" t="s">
        <v>1509</v>
      </c>
      <c r="D34" s="228">
        <v>44487</v>
      </c>
      <c r="E34" s="228">
        <v>44487</v>
      </c>
      <c r="F34" s="221">
        <v>1</v>
      </c>
      <c r="G34" s="92">
        <v>1</v>
      </c>
      <c r="H34" s="92">
        <v>0</v>
      </c>
      <c r="I34" s="92">
        <v>0</v>
      </c>
      <c r="J34" s="221">
        <v>0</v>
      </c>
      <c r="K34" s="221">
        <v>0</v>
      </c>
      <c r="L34" s="221">
        <f t="shared" si="0"/>
        <v>0</v>
      </c>
    </row>
    <row r="35" spans="1:12" outlineLevel="1">
      <c r="A35" s="229" t="s">
        <v>1585</v>
      </c>
      <c r="B35" s="230"/>
      <c r="C35" s="231"/>
      <c r="D35" s="232"/>
      <c r="E35" s="232"/>
      <c r="F35" s="233"/>
      <c r="G35" s="234">
        <f>SUBTOTAL(9,G34:G34)</f>
        <v>1</v>
      </c>
      <c r="H35" s="234">
        <f>SUBTOTAL(9,H34:H34)</f>
        <v>0</v>
      </c>
      <c r="I35" s="234">
        <f>SUBTOTAL(9,I34:I34)</f>
        <v>0</v>
      </c>
      <c r="J35" s="233">
        <f>H35/G35</f>
        <v>0</v>
      </c>
      <c r="K35" s="233">
        <f>I35/G35</f>
        <v>0</v>
      </c>
      <c r="L35" s="233">
        <f t="shared" si="0"/>
        <v>0</v>
      </c>
    </row>
    <row r="36" spans="1:12" outlineLevel="2">
      <c r="A36" s="226" t="s">
        <v>1337</v>
      </c>
      <c r="B36" s="227" t="s">
        <v>1517</v>
      </c>
      <c r="C36" s="226" t="s">
        <v>1518</v>
      </c>
      <c r="D36" s="228">
        <v>44346</v>
      </c>
      <c r="E36" s="228">
        <v>44357</v>
      </c>
      <c r="F36" s="221">
        <v>1.2</v>
      </c>
      <c r="G36" s="92">
        <v>10.8</v>
      </c>
      <c r="H36" s="92">
        <v>2.4</v>
      </c>
      <c r="I36" s="92">
        <v>1.62</v>
      </c>
      <c r="J36" s="221">
        <v>0.22222222222222221</v>
      </c>
      <c r="K36" s="221">
        <v>0.15</v>
      </c>
      <c r="L36" s="237">
        <f t="shared" si="0"/>
        <v>-7.2222222222222215E-2</v>
      </c>
    </row>
    <row r="37" spans="1:12" outlineLevel="1">
      <c r="A37" s="229" t="s">
        <v>1586</v>
      </c>
      <c r="B37" s="230"/>
      <c r="C37" s="231"/>
      <c r="D37" s="232"/>
      <c r="E37" s="232"/>
      <c r="F37" s="233"/>
      <c r="G37" s="234">
        <f>SUBTOTAL(9,G36:G36)</f>
        <v>10.8</v>
      </c>
      <c r="H37" s="234">
        <f>SUBTOTAL(9,H36:H36)</f>
        <v>2.4</v>
      </c>
      <c r="I37" s="234">
        <f>SUBTOTAL(9,I36:I36)</f>
        <v>1.62</v>
      </c>
      <c r="J37" s="233">
        <f>H37/G37</f>
        <v>0.22222222222222221</v>
      </c>
      <c r="K37" s="233">
        <f>I37/G37</f>
        <v>0.15</v>
      </c>
      <c r="L37" s="238">
        <f t="shared" si="0"/>
        <v>-7.2222222222222215E-2</v>
      </c>
    </row>
    <row r="38" spans="1:12" outlineLevel="2">
      <c r="A38" s="226" t="s">
        <v>1571</v>
      </c>
      <c r="B38" s="227" t="s">
        <v>1101</v>
      </c>
      <c r="C38" s="226" t="s">
        <v>1500</v>
      </c>
      <c r="D38" s="228">
        <v>44361</v>
      </c>
      <c r="E38" s="228">
        <v>44365</v>
      </c>
      <c r="F38" s="221">
        <v>0.2</v>
      </c>
      <c r="G38" s="92">
        <v>1</v>
      </c>
      <c r="H38" s="92">
        <v>0</v>
      </c>
      <c r="I38" s="92">
        <v>0.5</v>
      </c>
      <c r="J38" s="221">
        <v>0</v>
      </c>
      <c r="K38" s="221">
        <v>0.5</v>
      </c>
      <c r="L38" s="221">
        <f t="shared" si="0"/>
        <v>0.5</v>
      </c>
    </row>
    <row r="39" spans="1:12" outlineLevel="2">
      <c r="A39" s="226" t="s">
        <v>1571</v>
      </c>
      <c r="B39" s="227" t="s">
        <v>1122</v>
      </c>
      <c r="C39" s="226" t="s">
        <v>1501</v>
      </c>
      <c r="D39" s="228">
        <v>44393</v>
      </c>
      <c r="E39" s="228">
        <v>44393</v>
      </c>
      <c r="F39" s="221">
        <v>0.2</v>
      </c>
      <c r="G39" s="92">
        <v>0.2</v>
      </c>
      <c r="H39" s="92">
        <v>0</v>
      </c>
      <c r="I39" s="92">
        <v>0</v>
      </c>
      <c r="J39" s="221">
        <v>0</v>
      </c>
      <c r="K39" s="221">
        <v>0</v>
      </c>
      <c r="L39" s="221">
        <f t="shared" si="0"/>
        <v>0</v>
      </c>
    </row>
    <row r="40" spans="1:12" outlineLevel="2">
      <c r="A40" s="226" t="s">
        <v>1571</v>
      </c>
      <c r="B40" s="227" t="s">
        <v>1502</v>
      </c>
      <c r="C40" s="226" t="s">
        <v>1503</v>
      </c>
      <c r="D40" s="228">
        <v>44429</v>
      </c>
      <c r="E40" s="228">
        <v>44454</v>
      </c>
      <c r="F40" s="221">
        <v>0.2</v>
      </c>
      <c r="G40" s="92">
        <v>3.6</v>
      </c>
      <c r="H40" s="92">
        <v>0</v>
      </c>
      <c r="I40" s="92">
        <v>0</v>
      </c>
      <c r="J40" s="221">
        <v>0</v>
      </c>
      <c r="K40" s="221">
        <v>0</v>
      </c>
      <c r="L40" s="221">
        <f t="shared" si="0"/>
        <v>0</v>
      </c>
    </row>
    <row r="41" spans="1:12" outlineLevel="1">
      <c r="A41" s="229" t="s">
        <v>1587</v>
      </c>
      <c r="B41" s="230"/>
      <c r="C41" s="231"/>
      <c r="D41" s="232"/>
      <c r="E41" s="232"/>
      <c r="F41" s="233"/>
      <c r="G41" s="234">
        <f>SUBTOTAL(9,G38:G40)</f>
        <v>4.8</v>
      </c>
      <c r="H41" s="234">
        <f>SUBTOTAL(9,H38:H40)</f>
        <v>0</v>
      </c>
      <c r="I41" s="234">
        <f>SUBTOTAL(9,I38:I40)</f>
        <v>0.5</v>
      </c>
      <c r="J41" s="233">
        <f>H41/G41</f>
        <v>0</v>
      </c>
      <c r="K41" s="233">
        <f>I41/G41</f>
        <v>0.10416666666666667</v>
      </c>
      <c r="L41" s="233">
        <f t="shared" si="0"/>
        <v>0.10416666666666667</v>
      </c>
    </row>
    <row r="42" spans="1:12" outlineLevel="2">
      <c r="A42" s="226" t="s">
        <v>1371</v>
      </c>
      <c r="B42" s="227" t="s">
        <v>1508</v>
      </c>
      <c r="C42" s="226" t="s">
        <v>1509</v>
      </c>
      <c r="D42" s="228">
        <v>44487</v>
      </c>
      <c r="E42" s="228">
        <v>44487</v>
      </c>
      <c r="F42" s="221">
        <v>1</v>
      </c>
      <c r="G42" s="92">
        <v>1</v>
      </c>
      <c r="H42" s="92">
        <v>0</v>
      </c>
      <c r="I42" s="92">
        <v>0</v>
      </c>
      <c r="J42" s="221">
        <v>0</v>
      </c>
      <c r="K42" s="221">
        <v>0</v>
      </c>
      <c r="L42" s="221">
        <f t="shared" si="0"/>
        <v>0</v>
      </c>
    </row>
    <row r="43" spans="1:12" outlineLevel="1">
      <c r="A43" s="229" t="s">
        <v>1588</v>
      </c>
      <c r="B43" s="230"/>
      <c r="C43" s="231"/>
      <c r="D43" s="232"/>
      <c r="E43" s="232"/>
      <c r="F43" s="233"/>
      <c r="G43" s="234">
        <f>SUBTOTAL(9,G42:G42)</f>
        <v>1</v>
      </c>
      <c r="H43" s="234">
        <f>SUBTOTAL(9,H42:H42)</f>
        <v>0</v>
      </c>
      <c r="I43" s="234">
        <f>SUBTOTAL(9,I42:I42)</f>
        <v>0</v>
      </c>
      <c r="J43" s="233">
        <f>H43/G43</f>
        <v>0</v>
      </c>
      <c r="K43" s="233">
        <f>I43/G43</f>
        <v>0</v>
      </c>
      <c r="L43" s="233">
        <f t="shared" si="0"/>
        <v>0</v>
      </c>
    </row>
    <row r="44" spans="1:12" outlineLevel="2">
      <c r="A44" s="226" t="s">
        <v>1334</v>
      </c>
      <c r="B44" s="227" t="s">
        <v>1098</v>
      </c>
      <c r="C44" s="226" t="s">
        <v>1495</v>
      </c>
      <c r="D44" s="228">
        <v>44336</v>
      </c>
      <c r="E44" s="228">
        <v>44337</v>
      </c>
      <c r="F44" s="221">
        <v>1</v>
      </c>
      <c r="G44" s="92">
        <v>2</v>
      </c>
      <c r="H44" s="92">
        <v>2</v>
      </c>
      <c r="I44" s="92">
        <v>2</v>
      </c>
      <c r="J44" s="221">
        <v>1</v>
      </c>
      <c r="K44" s="221">
        <v>1</v>
      </c>
      <c r="L44" s="221">
        <f t="shared" si="0"/>
        <v>0</v>
      </c>
    </row>
    <row r="45" spans="1:12" outlineLevel="2">
      <c r="A45" s="226" t="s">
        <v>1334</v>
      </c>
      <c r="B45" s="227" t="s">
        <v>1496</v>
      </c>
      <c r="C45" s="226" t="s">
        <v>1497</v>
      </c>
      <c r="D45" s="228">
        <v>44340</v>
      </c>
      <c r="E45" s="228">
        <v>44346</v>
      </c>
      <c r="F45" s="221">
        <v>1</v>
      </c>
      <c r="G45" s="92">
        <v>5</v>
      </c>
      <c r="H45" s="92">
        <v>5</v>
      </c>
      <c r="I45" s="92">
        <v>4.5</v>
      </c>
      <c r="J45" s="221">
        <v>1</v>
      </c>
      <c r="K45" s="221">
        <v>0.9</v>
      </c>
      <c r="L45" s="237">
        <f t="shared" si="0"/>
        <v>-9.9999999999999978E-2</v>
      </c>
    </row>
    <row r="46" spans="1:12" outlineLevel="2">
      <c r="A46" s="226" t="s">
        <v>1334</v>
      </c>
      <c r="B46" s="227" t="s">
        <v>1498</v>
      </c>
      <c r="C46" s="226" t="s">
        <v>1499</v>
      </c>
      <c r="D46" s="228">
        <v>44358</v>
      </c>
      <c r="E46" s="228">
        <v>44358</v>
      </c>
      <c r="F46" s="221">
        <v>0</v>
      </c>
      <c r="G46" s="92">
        <v>0</v>
      </c>
      <c r="H46" s="92">
        <v>0</v>
      </c>
      <c r="I46" s="92">
        <v>0</v>
      </c>
      <c r="J46" s="221">
        <v>0</v>
      </c>
      <c r="K46" s="221">
        <v>0</v>
      </c>
      <c r="L46" s="221">
        <f t="shared" si="0"/>
        <v>0</v>
      </c>
    </row>
    <row r="47" spans="1:12" outlineLevel="2">
      <c r="A47" s="226" t="s">
        <v>1334</v>
      </c>
      <c r="B47" s="227" t="s">
        <v>1103</v>
      </c>
      <c r="C47" s="226" t="s">
        <v>1506</v>
      </c>
      <c r="D47" s="228">
        <v>44462</v>
      </c>
      <c r="E47" s="228">
        <v>44466</v>
      </c>
      <c r="F47" s="221">
        <v>1</v>
      </c>
      <c r="G47" s="92">
        <v>3</v>
      </c>
      <c r="H47" s="92">
        <v>0</v>
      </c>
      <c r="I47" s="92">
        <v>0</v>
      </c>
      <c r="J47" s="221">
        <v>0</v>
      </c>
      <c r="K47" s="221">
        <v>0</v>
      </c>
      <c r="L47" s="221">
        <f t="shared" si="0"/>
        <v>0</v>
      </c>
    </row>
    <row r="48" spans="1:12" outlineLevel="2">
      <c r="A48" s="226" t="s">
        <v>1334</v>
      </c>
      <c r="B48" s="227" t="s">
        <v>1517</v>
      </c>
      <c r="C48" s="226" t="s">
        <v>1518</v>
      </c>
      <c r="D48" s="228">
        <v>44346</v>
      </c>
      <c r="E48" s="228">
        <v>44357</v>
      </c>
      <c r="F48" s="221">
        <v>0.5</v>
      </c>
      <c r="G48" s="92">
        <v>4.5</v>
      </c>
      <c r="H48" s="92">
        <v>1</v>
      </c>
      <c r="I48" s="92">
        <v>0.67499999999999993</v>
      </c>
      <c r="J48" s="221">
        <v>0.22222222222222221</v>
      </c>
      <c r="K48" s="221">
        <v>0.15</v>
      </c>
      <c r="L48" s="237">
        <f t="shared" si="0"/>
        <v>-7.2222222222222215E-2</v>
      </c>
    </row>
    <row r="49" spans="1:12" outlineLevel="1">
      <c r="A49" s="229" t="s">
        <v>1589</v>
      </c>
      <c r="B49" s="230"/>
      <c r="C49" s="231"/>
      <c r="D49" s="232"/>
      <c r="E49" s="232"/>
      <c r="F49" s="233"/>
      <c r="G49" s="234">
        <f>SUBTOTAL(9,G44:G48)</f>
        <v>14.5</v>
      </c>
      <c r="H49" s="234">
        <f>SUBTOTAL(9,H44:H48)</f>
        <v>8</v>
      </c>
      <c r="I49" s="234">
        <f>SUBTOTAL(9,I44:I48)</f>
        <v>7.1749999999999998</v>
      </c>
      <c r="J49" s="233">
        <f>H49/G49</f>
        <v>0.55172413793103448</v>
      </c>
      <c r="K49" s="233">
        <f>I49/G49</f>
        <v>0.49482758620689654</v>
      </c>
      <c r="L49" s="238">
        <f t="shared" si="0"/>
        <v>-5.6896551724137934E-2</v>
      </c>
    </row>
    <row r="50" spans="1:12" outlineLevel="2">
      <c r="A50" s="226" t="s">
        <v>739</v>
      </c>
      <c r="B50" s="227" t="s">
        <v>1123</v>
      </c>
      <c r="C50" s="226" t="s">
        <v>1507</v>
      </c>
      <c r="D50" s="228">
        <v>44469</v>
      </c>
      <c r="E50" s="228">
        <v>44487</v>
      </c>
      <c r="F50" s="221">
        <v>1</v>
      </c>
      <c r="G50" s="92">
        <v>13</v>
      </c>
      <c r="H50" s="92">
        <v>0</v>
      </c>
      <c r="I50" s="92">
        <v>0</v>
      </c>
      <c r="J50" s="221">
        <v>0</v>
      </c>
      <c r="K50" s="221">
        <v>0</v>
      </c>
      <c r="L50" s="221">
        <f t="shared" si="0"/>
        <v>0</v>
      </c>
    </row>
    <row r="51" spans="1:12" outlineLevel="1">
      <c r="A51" s="229" t="s">
        <v>1590</v>
      </c>
      <c r="B51" s="230"/>
      <c r="C51" s="231"/>
      <c r="D51" s="232"/>
      <c r="E51" s="232"/>
      <c r="F51" s="233"/>
      <c r="G51" s="234">
        <f>SUBTOTAL(9,G50:G50)</f>
        <v>13</v>
      </c>
      <c r="H51" s="234">
        <f>SUBTOTAL(9,H50:H50)</f>
        <v>0</v>
      </c>
      <c r="I51" s="234">
        <f>SUBTOTAL(9,I50:I50)</f>
        <v>0</v>
      </c>
      <c r="J51" s="233">
        <f>H51/G51</f>
        <v>0</v>
      </c>
      <c r="K51" s="233">
        <f>I51/G51</f>
        <v>0</v>
      </c>
      <c r="L51" s="233">
        <f t="shared" si="0"/>
        <v>0</v>
      </c>
    </row>
    <row r="52" spans="1:12" outlineLevel="1">
      <c r="J52" s="221"/>
      <c r="K52" s="221"/>
      <c r="L52" s="221"/>
    </row>
    <row r="53" spans="1:12" outlineLevel="1">
      <c r="A53" s="235" t="s">
        <v>1591</v>
      </c>
      <c r="B53" s="236"/>
      <c r="C53" s="236"/>
      <c r="D53" s="236"/>
      <c r="E53" s="236"/>
      <c r="F53" s="233"/>
      <c r="G53" s="234">
        <f>SUBTOTAL(9,G7:G52)</f>
        <v>286.10000000000002</v>
      </c>
      <c r="H53" s="234">
        <f>SUBTOTAL(9,H7:H52)</f>
        <v>21.4</v>
      </c>
      <c r="I53" s="234">
        <f>SUBTOTAL(9,I7:I52)</f>
        <v>28.095000000000002</v>
      </c>
      <c r="J53" s="233">
        <f>H53/G53</f>
        <v>7.4799021321216352E-2</v>
      </c>
      <c r="K53" s="233">
        <f>I53/G53</f>
        <v>9.8199930094372598E-2</v>
      </c>
      <c r="L53" s="233">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4" t="s">
        <v>1488</v>
      </c>
      <c r="B2" s="294"/>
      <c r="C2" s="294"/>
      <c r="D2" s="294"/>
      <c r="E2" s="294"/>
      <c r="F2" s="294"/>
      <c r="G2" s="294"/>
      <c r="H2" s="294"/>
    </row>
    <row r="3" spans="1:9" s="65" customFormat="1" ht="24.75" customHeight="1">
      <c r="A3" s="295" t="s">
        <v>1489</v>
      </c>
      <c r="B3" s="295"/>
      <c r="D3" s="295" t="s">
        <v>1490</v>
      </c>
      <c r="E3" s="295"/>
      <c r="G3" s="295" t="s">
        <v>1491</v>
      </c>
      <c r="H3" s="295"/>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2022-02-01T06:21:33Z</dcterms:modified>
</cp:coreProperties>
</file>