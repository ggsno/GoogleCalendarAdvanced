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vscode\personal_project\GoogleCalendarAdvanced\"/>
    </mc:Choice>
  </mc:AlternateContent>
  <xr:revisionPtr revIDLastSave="0" documentId="13_ncr:1_{0C57533B-90B2-4FB9-B4D6-4B1A0B234933}" xr6:coauthVersionLast="47" xr6:coauthVersionMax="47" xr10:uidLastSave="{00000000-0000-0000-0000-000000000000}"/>
  <bookViews>
    <workbookView xWindow="-120" yWindow="-120" windowWidth="29040" windowHeight="15990" tabRatio="453" firstSheet="2" activeTab="2" xr2:uid="{00000000-000D-0000-FFFF-FFFF00000000}"/>
  </bookViews>
  <sheets>
    <sheet name="Settings" sheetId="6" state="veryHidden" r:id="rId1"/>
    <sheet name="Help" sheetId="9" state="hidden" r:id="rId2"/>
    <sheet name="Schedule" sheetId="2" r:id="rId3"/>
    <sheet name="Progress" sheetId="3" state="hidden" r:id="rId4"/>
    <sheet name="AnalysisReport" sheetId="4" state="hidden" r:id="rId5"/>
    <sheet name="Calendar" sheetId="5" state="hidden" r:id="rId6"/>
    <sheet name="TranslatedLanguages" sheetId="7" state="hidden" r:id="rId7"/>
    <sheet name="Workload" sheetId="8" state="hidden"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Schedule!$D$1:$AT$21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2" l="1"/>
  <c r="AF6" i="2"/>
  <c r="AF7" i="2"/>
  <c r="AF8" i="2"/>
  <c r="AF9" i="2"/>
  <c r="AF10" i="2"/>
  <c r="AF11" i="2"/>
  <c r="AF12" i="2"/>
  <c r="AF13" i="2"/>
  <c r="AH14" i="2"/>
  <c r="AH15" i="2"/>
  <c r="AI16" i="2"/>
  <c r="AF17" i="2"/>
  <c r="AJ17" i="2"/>
  <c r="AF18" i="2"/>
  <c r="AG19" i="2"/>
  <c r="AJ19" i="2"/>
  <c r="AG20" i="2"/>
  <c r="AJ20" i="2"/>
  <c r="L50" i="4"/>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<sst xmlns="http://schemas.openxmlformats.org/spreadsheetml/2006/main" count="3189" uniqueCount="1613">
  <si>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</si>
  <si>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</si>
  <si>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</si>
  <si>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</si>
  <si>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</si>
  <si>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</si>
  <si>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</si>
  <si>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</si>
  <si>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</si>
  <si>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</si>
  <si>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</si>
  <si>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</si>
  <si>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</si>
  <si>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</si>
  <si>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</si>
  <si>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</si>
  <si>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</si>
  <si>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</si>
  <si>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</si>
  <si>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</si>
  <si>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</si>
  <si>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</si>
  <si>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</si>
  <si>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</si>
  <si>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</si>
  <si>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</si>
  <si>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</si>
  <si>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</si>
  <si>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</si>
  <si>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</si>
  <si>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</si>
  <si>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</si>
  <si>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</si>
  <si>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</si>
  <si>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</si>
  <si>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</si>
  <si>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</si>
  <si>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</si>
  <si>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</si>
  <si>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</si>
  <si>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</si>
  <si>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</si>
  <si>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</si>
  <si>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</si>
  <si>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</si>
  <si>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</si>
  <si>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</si>
  <si>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</si>
  <si>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</si>
  <si>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</si>
  <si>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</si>
  <si>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</si>
  <si>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</si>
  <si>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</si>
  <si>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</si>
  <si>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</si>
  <si>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</si>
  <si>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</si>
  <si>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</si>
  <si>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</si>
  <si>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</si>
  <si>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</si>
  <si>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</si>
  <si>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</si>
  <si>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</si>
  <si>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</si>
  <si>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</si>
  <si>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</si>
  <si>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</si>
  <si>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</si>
  <si>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</si>
  <si>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</si>
  <si>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</si>
  <si>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</si>
  <si>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</si>
  <si>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</si>
  <si>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</si>
  <si>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</si>
  <si>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</si>
  <si>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</si>
  <si>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</si>
  <si>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</si>
  <si>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</si>
  <si>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</si>
  <si>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</si>
  <si>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</si>
  <si>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</si>
  <si>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</si>
  <si>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</si>
  <si>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</si>
  <si>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</si>
  <si>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</si>
  <si>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</si>
  <si>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</si>
  <si>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</si>
  <si>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</si>
  <si>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</si>
  <si>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</si>
  <si>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</si>
  <si>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</si>
  <si>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</si>
  <si>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</si>
  <si>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</si>
  <si>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</si>
  <si>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</si>
  <si>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</si>
  <si>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</si>
  <si>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</si>
  <si>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</si>
  <si>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</si>
  <si>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</si>
  <si>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</si>
  <si>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</si>
  <si>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</si>
  <si>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</si>
  <si>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</si>
  <si>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</si>
  <si>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</si>
  <si>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</si>
  <si>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</si>
  <si>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</si>
  <si>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</si>
  <si>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</si>
  <si>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</si>
  <si>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</si>
  <si>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</si>
  <si>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</si>
  <si>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</si>
  <si>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</si>
  <si>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</si>
  <si>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</si>
  <si>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</si>
  <si>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</si>
  <si>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</si>
  <si>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</si>
  <si>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</si>
  <si>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</si>
  <si>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</si>
  <si>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</si>
  <si>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</si>
  <si>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</si>
  <si>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</si>
  <si>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</si>
  <si>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</si>
  <si>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</si>
  <si>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</si>
  <si>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</si>
  <si>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</si>
  <si>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</si>
  <si>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</si>
  <si>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</si>
  <si>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</si>
  <si>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</si>
  <si>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</si>
  <si>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</si>
  <si>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</si>
  <si>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</si>
  <si>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</si>
  <si>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</si>
  <si>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</si>
  <si>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</si>
  <si>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</si>
  <si>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</si>
  <si>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</si>
  <si>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</si>
  <si>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</si>
  <si>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</si>
  <si>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</si>
  <si>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</si>
  <si>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</si>
  <si>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</si>
  <si>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</si>
  <si>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</si>
  <si>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</si>
  <si>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</si>
  <si>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</si>
  <si>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</si>
  <si>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</si>
  <si>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</si>
  <si>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</si>
  <si>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</si>
  <si>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</si>
  <si>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</si>
  <si>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</si>
  <si>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</si>
  <si>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</si>
  <si>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</si>
  <si>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</si>
  <si>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</si>
  <si>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</si>
  <si>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</si>
  <si>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</si>
  <si>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</si>
  <si>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</si>
  <si>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</si>
  <si>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</si>
  <si>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</si>
  <si>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</si>
  <si>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</si>
  <si>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</si>
  <si>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</si>
  <si>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</si>
  <si>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</si>
  <si>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</si>
  <si>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</si>
  <si>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</si>
  <si>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</si>
  <si>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</si>
  <si>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</si>
  <si>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</si>
  <si>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</si>
  <si>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</si>
  <si>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</si>
  <si>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</si>
  <si>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</si>
  <si>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</si>
  <si>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</si>
  <si>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</si>
  <si>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</si>
  <si>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</si>
  <si>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</si>
  <si>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</si>
  <si>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</si>
  <si>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</si>
  <si>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</si>
  <si>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</si>
  <si>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</si>
  <si>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</si>
  <si>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</si>
  <si>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</si>
  <si>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</si>
  <si>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</si>
  <si>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</si>
  <si>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</si>
  <si>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</si>
  <si>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</si>
  <si>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</si>
  <si>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</si>
  <si>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</si>
  <si>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</si>
  <si>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</si>
  <si>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</si>
  <si>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</si>
  <si>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</si>
  <si>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</si>
  <si>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</si>
  <si>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</si>
  <si>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</si>
  <si>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</si>
  <si>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</si>
  <si>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</si>
  <si>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</si>
  <si>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</si>
  <si>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</si>
  <si>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</si>
  <si>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</si>
  <si>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</si>
  <si>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</si>
  <si>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</si>
  <si>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</si>
  <si>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</si>
  <si>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</si>
  <si>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</si>
  <si>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</si>
  <si>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</si>
  <si>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</si>
  <si>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</si>
  <si>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</si>
  <si>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</si>
  <si>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</si>
  <si>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</si>
  <si>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</si>
  <si>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</si>
  <si>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</si>
  <si>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</si>
  <si>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</si>
  <si>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</si>
  <si>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</si>
  <si>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</si>
  <si>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</si>
  <si>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</si>
  <si>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</si>
  <si>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</si>
  <si>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</si>
  <si>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</si>
  <si>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</si>
  <si>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</si>
  <si>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</si>
  <si>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</si>
  <si>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</si>
  <si>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</si>
  <si>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</si>
  <si>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</si>
  <si>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</si>
  <si>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</si>
  <si>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</si>
  <si>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</si>
  <si>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</si>
  <si>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</si>
  <si>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</si>
  <si>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</si>
  <si>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</si>
  <si>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</si>
  <si>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</si>
  <si>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</si>
  <si>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</si>
  <si>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</si>
  <si>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</si>
  <si>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</si>
  <si>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</si>
  <si>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</si>
  <si>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</si>
  <si>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</si>
  <si>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</si>
  <si>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</si>
  <si>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</si>
  <si>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</si>
  <si>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</si>
  <si>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</si>
  <si>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</si>
  <si>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</si>
  <si>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</si>
  <si>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</si>
  <si>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</si>
  <si>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</si>
  <si>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</si>
  <si>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</si>
  <si>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</si>
  <si>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</si>
  <si>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</si>
  <si>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</si>
  <si>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</si>
  <si>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</si>
  <si>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</si>
  <si>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</si>
  <si>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</si>
  <si>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</si>
  <si>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</si>
  <si>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</si>
  <si>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</si>
  <si>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</si>
  <si>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</si>
  <si>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</si>
  <si>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</si>
  <si>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</si>
  <si>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</si>
  <si>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</si>
  <si>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</si>
  <si>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</si>
  <si>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</si>
  <si>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</si>
  <si>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</si>
  <si>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</si>
  <si>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</si>
  <si>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</si>
  <si>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</si>
  <si>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</si>
  <si>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</si>
  <si>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</si>
  <si>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</si>
  <si>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</si>
  <si>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</si>
  <si>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</si>
  <si>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</si>
  <si>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</si>
  <si>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</si>
  <si>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</si>
  <si>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</si>
  <si>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</si>
  <si>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</si>
  <si>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</si>
  <si>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</si>
  <si>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</si>
  <si>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</si>
  <si>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</si>
  <si>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</si>
  <si>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</si>
  <si>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</si>
  <si>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</si>
  <si>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</si>
  <si>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</si>
  <si>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</si>
  <si>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</si>
  <si>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</si>
  <si>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</si>
  <si>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</si>
  <si>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</si>
  <si>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</si>
  <si>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</si>
  <si>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</si>
  <si>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</si>
  <si>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</si>
  <si>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</si>
  <si>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</si>
  <si>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</si>
  <si>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</si>
  <si>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</si>
  <si>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</si>
  <si>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</si>
  <si>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</si>
  <si>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</si>
  <si>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</si>
  <si>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</si>
  <si>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</si>
  <si>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</si>
  <si>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</si>
  <si>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</si>
  <si>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</si>
  <si>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</si>
  <si>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</si>
  <si>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</si>
  <si>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</si>
  <si>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</si>
  <si>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</si>
  <si>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</si>
  <si>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</si>
  <si>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</si>
  <si>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</si>
  <si>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</si>
  <si>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</si>
  <si>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</si>
  <si>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</si>
  <si>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</si>
  <si>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</si>
  <si>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</si>
  <si>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</si>
  <si>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</si>
  <si>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</si>
  <si>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</si>
  <si>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</si>
  <si>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</si>
  <si>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</si>
  <si>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</si>
  <si>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</si>
  <si>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</si>
  <si>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</si>
  <si>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</si>
  <si>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</si>
  <si>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</si>
  <si>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</si>
  <si>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</si>
  <si>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</si>
  <si>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</si>
  <si>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</si>
  <si>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</si>
  <si>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</si>
  <si>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</si>
  <si>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</si>
  <si>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</si>
  <si>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</si>
  <si>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</si>
  <si>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</si>
  <si>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</si>
  <si>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</si>
  <si>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</si>
  <si>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</si>
  <si>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</si>
  <si>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</si>
  <si>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</si>
  <si>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</si>
  <si>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</si>
  <si>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</si>
  <si>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</si>
  <si>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</si>
  <si>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</si>
  <si>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</si>
  <si>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</si>
  <si>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</si>
  <si>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</si>
  <si>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</si>
  <si>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</si>
  <si>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</si>
  <si>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</si>
  <si>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</si>
  <si>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</si>
  <si>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</si>
  <si>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</si>
  <si>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</si>
  <si>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</si>
  <si>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</si>
  <si>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</si>
  <si>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</si>
  <si>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</si>
  <si>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</si>
  <si>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</si>
  <si>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</si>
  <si>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</si>
  <si>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</si>
  <si>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</si>
  <si>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</si>
  <si>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</si>
  <si>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</si>
  <si>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</si>
  <si>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</si>
  <si>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</si>
  <si>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</si>
  <si>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</si>
  <si>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</si>
  <si>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</si>
  <si>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</si>
  <si>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</si>
  <si>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</si>
  <si>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</si>
  <si>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</si>
  <si>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</si>
  <si>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</si>
  <si>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</si>
  <si>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</si>
  <si>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</si>
  <si>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</si>
  <si>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</si>
  <si>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</si>
  <si>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</si>
  <si>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</si>
  <si>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</si>
  <si>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</si>
  <si>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</si>
  <si>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</si>
  <si>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</si>
  <si>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</si>
  <si>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</si>
  <si>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</si>
  <si>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</si>
  <si>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</si>
  <si>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</si>
  <si>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</si>
  <si>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</si>
  <si>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</si>
  <si>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</si>
  <si>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</si>
  <si>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</si>
  <si>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</si>
  <si>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</si>
  <si>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</si>
  <si>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</si>
  <si>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</si>
  <si>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</si>
  <si>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</si>
  <si>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</si>
  <si>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</si>
  <si>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</si>
  <si>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</si>
  <si>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</si>
  <si>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</si>
  <si>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</si>
  <si>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</si>
  <si>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</si>
  <si>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</si>
  <si>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</si>
  <si>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</si>
  <si>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</si>
  <si>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</si>
  <si>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</si>
  <si>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</si>
  <si>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</si>
  <si>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</si>
  <si>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</si>
  <si>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</si>
  <si>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</si>
  <si>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</si>
  <si>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</si>
  <si>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</si>
  <si>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</si>
  <si>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</si>
  <si>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</si>
  <si>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</si>
  <si>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</si>
  <si>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</si>
  <si>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</si>
  <si>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</si>
  <si>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</si>
  <si>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</si>
  <si>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</si>
  <si>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</si>
  <si>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</si>
  <si>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</si>
  <si>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</si>
  <si>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</si>
  <si>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</si>
  <si>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</si>
  <si>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</si>
  <si>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</si>
  <si>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</si>
  <si>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</si>
  <si>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</si>
  <si>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</si>
  <si>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</si>
  <si>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</si>
  <si>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</si>
  <si>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</si>
  <si>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</si>
  <si>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</si>
  <si>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</si>
  <si>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</si>
  <si>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</si>
  <si>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</si>
  <si>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</si>
  <si>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</si>
  <si>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</si>
  <si>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</si>
  <si>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</si>
  <si>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</si>
  <si>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</si>
  <si>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</si>
  <si>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</si>
  <si>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</si>
  <si>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</si>
  <si>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</si>
  <si>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</si>
  <si>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</si>
  <si>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</si>
  <si>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</si>
  <si>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</si>
  <si>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</si>
  <si>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</si>
  <si>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</si>
  <si>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</si>
  <si>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</si>
  <si>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</si>
  <si>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</si>
  <si>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</si>
  <si>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</si>
  <si>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</si>
  <si>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</si>
  <si>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</si>
  <si>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</si>
  <si>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</si>
  <si>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</si>
  <si>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</si>
  <si>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</si>
  <si>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</si>
  <si>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</si>
  <si>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</si>
  <si>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</si>
  <si>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</si>
  <si>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</si>
  <si>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</si>
  <si>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</si>
  <si>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</si>
  <si>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</si>
  <si>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</si>
  <si>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</si>
  <si>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</si>
  <si>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</si>
  <si>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</si>
  <si>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</si>
  <si>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</si>
  <si>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</si>
  <si>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</si>
  <si>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</si>
  <si>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</si>
  <si>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</si>
  <si>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</si>
  <si>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</si>
  <si>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</si>
  <si>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</si>
  <si>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</si>
  <si>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</si>
  <si>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</si>
  <si>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</si>
  <si>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</si>
  <si>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</si>
  <si>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</si>
  <si>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</si>
  <si>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</si>
  <si>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</si>
  <si>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</si>
  <si>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</si>
  <si>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</si>
  <si>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</si>
  <si>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</si>
  <si>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</si>
  <si>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</si>
  <si>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</si>
  <si>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</si>
  <si>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</si>
  <si>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</si>
  <si>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</si>
  <si>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</si>
  <si>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</si>
  <si>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</si>
  <si>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</si>
  <si>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</si>
  <si>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</si>
  <si>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</si>
  <si>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</si>
  <si>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</si>
  <si>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</si>
  <si>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</si>
  <si>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</si>
  <si>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</si>
  <si>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</si>
  <si>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</si>
  <si>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</si>
  <si>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</si>
  <si>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</si>
  <si>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</si>
  <si>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</si>
  <si>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</si>
  <si>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</si>
  <si>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</si>
  <si>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</si>
  <si>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</si>
  <si>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</si>
  <si>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</si>
  <si>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</si>
  <si>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</si>
  <si>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</si>
  <si>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</si>
  <si>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</si>
  <si>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</si>
  <si>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</si>
  <si>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</si>
  <si>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</si>
  <si>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</si>
  <si>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</si>
  <si>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</si>
  <si>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</si>
  <si>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</si>
  <si>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</si>
  <si>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</si>
  <si>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</si>
  <si>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</si>
  <si>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</si>
  <si>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</si>
  <si>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</si>
  <si>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</si>
  <si>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</si>
  <si>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</si>
  <si>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</si>
  <si>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</si>
  <si>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</si>
  <si>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</si>
  <si>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</si>
  <si>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</si>
  <si>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</si>
  <si>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</si>
  <si>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</si>
  <si>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</si>
  <si>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</si>
  <si>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</si>
  <si>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</si>
  <si>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</si>
  <si>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</si>
  <si>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</si>
  <si>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</si>
  <si>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</si>
  <si>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</si>
  <si>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</si>
  <si>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</si>
  <si>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</si>
  <si>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</si>
  <si>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</si>
  <si>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</si>
  <si>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</si>
  <si>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</si>
  <si>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</si>
  <si>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</si>
  <si>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</si>
  <si>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</si>
  <si>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</si>
  <si>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</si>
  <si>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</si>
  <si>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</si>
  <si>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</si>
  <si>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</si>
  <si>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</si>
  <si>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</si>
  <si>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</si>
  <si>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</si>
  <si>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</si>
  <si>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</si>
  <si>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</si>
  <si>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</si>
  <si>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</si>
  <si>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</si>
  <si>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</si>
  <si>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</si>
  <si>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</si>
  <si>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</si>
  <si>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</si>
  <si>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</si>
  <si>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</si>
  <si>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</si>
  <si>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</si>
  <si>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</si>
  <si>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</si>
  <si>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</si>
  <si>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</si>
  <si>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</si>
  <si>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</si>
  <si>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</si>
  <si>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</si>
  <si>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</si>
  <si>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</si>
  <si>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</si>
  <si>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</si>
  <si>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</si>
  <si>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</si>
  <si>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</si>
  <si>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</si>
  <si>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</si>
  <si>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</si>
  <si>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</si>
  <si>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</si>
  <si>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</si>
  <si>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</si>
  <si>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</si>
  <si>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</si>
  <si>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</si>
  <si>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</si>
  <si>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</si>
  <si>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</si>
  <si>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</si>
  <si>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</si>
  <si>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</si>
  <si>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</si>
  <si>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</si>
  <si>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</si>
  <si>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</si>
  <si>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</si>
  <si>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</si>
  <si>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</si>
  <si>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</si>
  <si>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</si>
  <si>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</si>
  <si>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</si>
  <si>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</si>
  <si>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</si>
  <si>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</si>
  <si>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</si>
  <si>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</si>
  <si>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</si>
  <si>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</si>
  <si>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</si>
  <si>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</si>
  <si>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</si>
  <si>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</si>
  <si>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</si>
  <si>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</si>
  <si>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</si>
  <si>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</si>
  <si>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</si>
  <si>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</si>
  <si>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</si>
  <si>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</si>
  <si>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</si>
  <si>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</si>
  <si>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</si>
  <si>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</si>
  <si>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</si>
  <si>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</si>
  <si>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</si>
  <si>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</si>
  <si>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</si>
  <si>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</si>
  <si>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</si>
  <si>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</si>
  <si>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</si>
  <si>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</si>
  <si>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</si>
  <si>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</si>
  <si>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</si>
  <si>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</si>
  <si>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</si>
  <si>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</si>
  <si>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</si>
  <si>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</si>
  <si>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</si>
  <si>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</si>
  <si>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</si>
  <si>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</si>
  <si>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</si>
  <si>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</si>
  <si>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</si>
  <si>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</si>
  <si>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</si>
  <si>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</si>
  <si>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</si>
  <si>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</si>
  <si>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</si>
  <si>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</si>
  <si>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</si>
  <si>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</si>
  <si>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</si>
  <si>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</si>
  <si>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</si>
  <si>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</si>
  <si>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</si>
  <si>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</si>
  <si>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</si>
  <si>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</si>
  <si>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</si>
  <si>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</si>
  <si>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</si>
  <si>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</si>
  <si>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</si>
  <si>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</si>
  <si>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</si>
  <si>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</si>
  <si>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</si>
  <si>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</si>
  <si>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</si>
  <si>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</si>
  <si>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</si>
  <si>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</si>
  <si>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</si>
  <si>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</si>
  <si>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</si>
  <si>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</si>
  <si>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</si>
  <si>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</si>
  <si>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</si>
  <si>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</si>
  <si>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</si>
  <si>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</si>
  <si>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</si>
  <si>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</si>
  <si>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</si>
  <si>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</si>
  <si>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</si>
  <si>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</si>
  <si>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</si>
  <si>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</si>
  <si>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</si>
  <si>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</si>
  <si>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</si>
  <si>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</si>
  <si>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</si>
  <si>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</si>
  <si>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</si>
  <si>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</si>
  <si>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</si>
  <si>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</si>
  <si>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</si>
  <si>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</si>
  <si>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</si>
  <si>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</si>
  <si>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</si>
  <si>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</si>
  <si>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</si>
  <si>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</si>
  <si>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</si>
  <si>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</si>
  <si>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</si>
  <si>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</si>
  <si>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</si>
  <si>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</si>
  <si>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</si>
  <si>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</si>
  <si>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</si>
  <si>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</si>
  <si>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</si>
  <si>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</si>
  <si>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</si>
  <si>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</si>
  <si>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</si>
  <si>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</si>
  <si>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</si>
  <si>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</si>
  <si>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</si>
  <si>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</si>
  <si>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</si>
  <si>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</si>
  <si>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</si>
  <si>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</si>
  <si>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</si>
  <si>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</si>
  <si>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</si>
  <si>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</si>
  <si>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</si>
  <si>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</si>
  <si>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</si>
  <si>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</si>
  <si>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</si>
  <si>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</si>
  <si>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</si>
  <si>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</si>
  <si>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</si>
  <si>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</si>
  <si>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</si>
  <si>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</si>
  <si>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</si>
  <si>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</si>
  <si>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</si>
  <si>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</si>
  <si>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</si>
  <si>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</si>
  <si>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</si>
  <si>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</si>
  <si>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</si>
  <si>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</si>
  <si>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</si>
  <si>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</si>
  <si>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</si>
  <si>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</si>
  <si>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</si>
  <si>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</si>
  <si>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</si>
  <si>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</si>
  <si>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</si>
  <si>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</si>
  <si>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</si>
  <si>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</si>
  <si>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</si>
  <si>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</si>
  <si>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</si>
  <si>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</si>
  <si>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</si>
  <si>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</si>
  <si>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</si>
  <si>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</si>
  <si>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</si>
  <si>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</si>
  <si>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</si>
  <si>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</si>
  <si>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</si>
  <si>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</si>
  <si>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</si>
  <si>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</si>
  <si>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</si>
  <si>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</si>
  <si>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</si>
  <si>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</si>
  <si>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</si>
  <si>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</si>
  <si>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</si>
  <si>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</si>
  <si>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</si>
  <si>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</si>
  <si>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</si>
  <si>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</si>
  <si>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</si>
  <si>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</si>
  <si>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</si>
  <si>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</si>
  <si>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</si>
  <si>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</si>
  <si>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</si>
  <si>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</si>
  <si>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</si>
  <si>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</si>
  <si>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</si>
  <si>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</si>
  <si>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</si>
  <si>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</si>
  <si>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</si>
  <si>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</si>
  <si>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</si>
  <si>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</si>
  <si>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</si>
  <si>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</si>
  <si>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</si>
  <si>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</si>
  <si>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</si>
  <si>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</si>
  <si>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</si>
  <si>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</si>
  <si>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</si>
  <si>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</si>
  <si>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</si>
  <si>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</si>
  <si>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</si>
  <si>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</si>
  <si>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</si>
  <si>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</si>
  <si>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</si>
  <si>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</si>
  <si>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</si>
  <si>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</si>
  <si>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</si>
  <si>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</si>
  <si>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</si>
  <si>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</si>
  <si>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</si>
  <si>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</si>
  <si>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</si>
  <si>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</si>
  <si>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</si>
  <si>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</si>
  <si>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</si>
  <si>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</si>
  <si>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</si>
  <si>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</si>
  <si>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</si>
  <si>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</si>
  <si>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</si>
  <si>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</si>
  <si>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</si>
  <si>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</si>
  <si>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</si>
  <si>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</si>
  <si>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</si>
  <si>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</si>
  <si>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</si>
  <si>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</si>
  <si>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</si>
  <si>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</si>
  <si>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</si>
  <si>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</si>
  <si>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</si>
  <si>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</si>
  <si>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</si>
  <si>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</si>
  <si>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</si>
  <si>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</si>
  <si>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</si>
  <si>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</si>
  <si>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</si>
  <si>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</si>
  <si>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</si>
  <si>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</si>
  <si>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</si>
  <si>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</si>
  <si>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</si>
  <si>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</si>
  <si>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</si>
  <si>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</si>
  <si>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</si>
  <si>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</si>
  <si>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</si>
  <si>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</si>
  <si>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</si>
  <si>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</si>
  <si>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</si>
  <si>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</si>
  <si>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</si>
  <si>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</si>
  <si>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</si>
  <si>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</si>
  <si>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</si>
  <si>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</si>
  <si>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</si>
  <si>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</si>
  <si>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</si>
  <si>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</si>
  <si>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</si>
  <si>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</si>
  <si>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</si>
  <si>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</si>
  <si>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</si>
  <si>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</si>
  <si>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</si>
  <si>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</si>
  <si>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</si>
  <si>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</si>
  <si>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</si>
  <si>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</si>
  <si>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</si>
  <si>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</si>
  <si>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</si>
  <si>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</si>
  <si>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</si>
  <si>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</si>
  <si>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</si>
  <si>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</si>
  <si>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</si>
  <si>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</si>
  <si>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</si>
  <si>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</si>
  <si>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</si>
  <si>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</si>
  <si>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</si>
  <si>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</si>
  <si>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</si>
  <si>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</si>
  <si>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</si>
  <si>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</si>
  <si>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</si>
  <si>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</si>
  <si>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</si>
  <si>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</si>
  <si>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</si>
  <si>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</si>
  <si>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</si>
  <si>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</si>
  <si>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</si>
  <si>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</si>
  <si>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</si>
  <si>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</si>
  <si>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</si>
  <si>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</si>
  <si>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</si>
  <si>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</si>
  <si>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</si>
  <si>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</si>
  <si>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</si>
  <si>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</si>
  <si>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</si>
  <si>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</si>
  <si>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</si>
  <si>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</si>
  <si>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</si>
  <si>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</si>
  <si>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</si>
  <si>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</si>
  <si>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</si>
  <si>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</si>
  <si>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</si>
  <si>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</si>
  <si>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</si>
  <si>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</si>
  <si>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</si>
  <si>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</si>
  <si>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</si>
  <si>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</si>
  <si>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</si>
  <si>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</si>
  <si>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</si>
  <si>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</si>
  <si>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</si>
  <si>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</si>
  <si>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</si>
  <si>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</si>
  <si>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</si>
  <si>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</si>
  <si>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</si>
  <si>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</si>
  <si>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</si>
  <si>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</si>
  <si>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</si>
  <si>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</si>
  <si>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</si>
  <si>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</si>
  <si>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</si>
  <si>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</si>
  <si>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</si>
  <si>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</si>
  <si>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</si>
  <si>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</si>
  <si>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</si>
  <si>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</si>
  <si>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</si>
  <si>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</si>
  <si>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</si>
  <si>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</si>
  <si>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</si>
  <si>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</si>
  <si>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</si>
  <si>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</si>
  <si>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</si>
  <si>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</si>
  <si>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</si>
  <si>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</si>
  <si>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</si>
  <si>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</si>
  <si>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</si>
  <si>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</si>
  <si>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</si>
  <si>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</si>
  <si>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</si>
  <si>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</si>
  <si>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</si>
  <si>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</si>
  <si>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</si>
  <si>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</si>
  <si>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</si>
  <si>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</si>
  <si>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</si>
  <si>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</si>
  <si>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</si>
  <si>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</si>
  <si>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</si>
  <si>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</si>
  <si>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</si>
  <si>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</si>
  <si>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</si>
  <si>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</si>
  <si>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</si>
  <si>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</si>
  <si>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</si>
  <si>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</si>
  <si>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</si>
  <si>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</si>
  <si>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</si>
  <si>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</si>
  <si>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</si>
  <si>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</si>
  <si>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</si>
  <si>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</si>
  <si>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</si>
  <si>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</si>
  <si>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</si>
  <si>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</si>
  <si>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</si>
  <si>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</si>
  <si>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</si>
  <si>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</si>
  <si>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</si>
  <si>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</si>
  <si>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</si>
  <si>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</si>
  <si>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</si>
  <si>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</si>
  <si>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</si>
  <si>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</si>
  <si>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</si>
  <si>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</si>
  <si>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</si>
  <si>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</si>
  <si>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</si>
  <si>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</si>
  <si>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</si>
  <si>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</si>
  <si>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</si>
  <si>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</si>
  <si>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</si>
  <si>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</si>
  <si>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</si>
  <si>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</si>
  <si>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</si>
  <si>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</si>
  <si>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</si>
  <si>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</si>
  <si>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</si>
  <si>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</si>
  <si>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</si>
  <si>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</si>
  <si>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</si>
  <si>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</si>
  <si>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</si>
  <si>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</si>
  <si>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</si>
  <si>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</si>
  <si>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</si>
  <si>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</si>
  <si>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</si>
  <si>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</si>
  <si>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</si>
  <si>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</si>
  <si>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</si>
  <si>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</si>
  <si>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</si>
  <si>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</si>
  <si>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</si>
  <si>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W5</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</si>
  <si>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</si>
  <si>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</si>
  <si>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</si>
  <si>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</si>
  <si>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</si>
  <si>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</si>
  <si>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</si>
  <si>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</si>
  <si>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</si>
  <si>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</si>
  <si>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</si>
  <si>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</si>
  <si>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</si>
  <si>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</si>
  <si>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</si>
  <si>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</si>
  <si>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</si>
  <si>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</si>
  <si>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</si>
  <si>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</si>
  <si>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</si>
  <si>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</si>
  <si>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</si>
  <si>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</si>
  <si>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</si>
  <si>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</si>
  <si>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</si>
  <si>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</si>
  <si>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</si>
  <si>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</si>
  <si>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</si>
  <si>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</si>
  <si>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</si>
  <si>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</si>
  <si>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나고객</t>
  </si>
  <si>
    <t>이고객</t>
  </si>
  <si>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</si>
  <si>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</si>
  <si>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</si>
  <si>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</si>
  <si>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</si>
  <si>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</si>
  <si>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</si>
  <si>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</si>
  <si>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</si>
  <si>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</si>
  <si>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</si>
  <si>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</si>
  <si>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</si>
  <si>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</si>
  <si>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</si>
  <si>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</si>
  <si>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</si>
  <si>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</si>
  <si>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</si>
  <si>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</si>
  <si>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</si>
  <si>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</si>
  <si>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</si>
  <si>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</si>
  <si>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</si>
  <si>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</si>
  <si>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</si>
  <si>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</si>
  <si>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</si>
  <si>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</si>
  <si>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</si>
  <si>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</si>
  <si>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</si>
  <si>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</si>
  <si>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</si>
  <si>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</si>
  <si>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</si>
  <si>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</si>
  <si>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</si>
  <si>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</si>
  <si>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</si>
  <si>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</si>
  <si>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</si>
  <si>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</si>
  <si>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</si>
  <si>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</si>
  <si>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</si>
  <si>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</si>
  <si>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</si>
  <si>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</si>
  <si>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</si>
  <si>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</si>
  <si>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</si>
  <si>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</si>
  <si>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</si>
  <si>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</si>
  <si>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</si>
  <si>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</si>
  <si>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</si>
  <si>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</si>
  <si>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</si>
  <si>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</si>
  <si>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</si>
  <si>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</si>
  <si>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</si>
  <si>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</si>
  <si>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</si>
  <si>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</si>
  <si>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</si>
  <si>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</si>
  <si>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</si>
  <si>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</si>
  <si>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</si>
  <si>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</si>
  <si>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</si>
  <si>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</si>
  <si>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</si>
  <si>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</si>
  <si>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</si>
  <si>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프로젝트 진척율 - 일정변경 관리하지 않을때</t>
    <phoneticPr fontId="4"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</si>
  <si>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</si>
  <si>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</si>
  <si>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</si>
  <si>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</si>
  <si>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</si>
  <si>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</si>
  <si>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</si>
  <si>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</si>
  <si>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</si>
  <si>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</si>
  <si>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</si>
  <si>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</si>
  <si>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</si>
  <si>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</si>
  <si>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</si>
  <si>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</si>
  <si>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</si>
  <si>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</si>
  <si>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</si>
  <si>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</si>
  <si>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</si>
  <si>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</si>
  <si>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</si>
  <si>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</si>
  <si>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</si>
  <si>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</si>
  <si>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</si>
  <si>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</si>
  <si>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</si>
  <si>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</si>
  <si>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</si>
  <si>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</si>
  <si>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</si>
  <si>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</si>
  <si>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</si>
  <si>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</si>
  <si>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</si>
  <si>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</si>
  <si>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</si>
  <si>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</si>
  <si>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</si>
  <si>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</si>
  <si>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</si>
  <si>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</si>
  <si>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</si>
  <si>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</si>
  <si>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</si>
  <si>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</si>
  <si>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</si>
  <si>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</si>
  <si>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</si>
  <si>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</si>
  <si>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</si>
  <si>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</si>
  <si>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</si>
  <si>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</si>
  <si>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</si>
  <si>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</si>
  <si>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</si>
  <si>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</si>
  <si>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</si>
  <si>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</si>
  <si>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</si>
  <si>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</si>
  <si>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</si>
  <si>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</si>
  <si>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</si>
  <si>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</si>
  <si>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</si>
  <si>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</si>
  <si>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</si>
  <si>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</si>
  <si>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</si>
  <si>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</si>
  <si>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</si>
  <si>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</si>
  <si>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</si>
  <si>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</si>
  <si>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</si>
  <si>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</si>
  <si>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</si>
  <si>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</si>
  <si>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</si>
  <si>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</si>
  <si>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</si>
  <si>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</si>
  <si>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</si>
  <si>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</si>
  <si>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</si>
  <si>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</si>
  <si>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</si>
  <si>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</si>
  <si>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</si>
  <si>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</si>
  <si>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</si>
  <si>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</si>
  <si>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</si>
  <si>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</si>
  <si>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</si>
  <si>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</si>
  <si>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</si>
  <si>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</si>
  <si>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</si>
  <si>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</si>
  <si>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</si>
  <si>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</si>
  <si>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</si>
  <si>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</si>
  <si>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</si>
  <si>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</si>
  <si>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</si>
  <si>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</si>
  <si>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</si>
  <si>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</si>
  <si>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</si>
  <si>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</si>
  <si>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</si>
  <si>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</si>
  <si>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</si>
  <si>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</si>
  <si>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</si>
  <si>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Powerpoint</t>
    <phoneticPr fontId="4" type="noConversion"/>
  </si>
  <si>
    <t>Automatically defined</t>
    <phoneticPr fontId="4" type="noConversion"/>
  </si>
  <si>
    <t>Word</t>
    <phoneticPr fontId="4" type="noConversion"/>
  </si>
  <si>
    <t>Excel</t>
    <phoneticPr fontId="4"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</si>
  <si>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</si>
  <si>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</si>
  <si>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</si>
  <si>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</si>
  <si>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</si>
  <si>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</si>
  <si>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</si>
  <si>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</si>
  <si>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</si>
  <si>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</si>
  <si>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</si>
  <si>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</si>
  <si>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</si>
  <si>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</si>
  <si>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</si>
  <si>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2022
W6</t>
  </si>
  <si>
    <t>02/27
W10</t>
  </si>
  <si>
    <t>CSS</t>
  </si>
  <si>
    <t>레이아웃</t>
  </si>
  <si>
    <t>추가 기능</t>
  </si>
  <si>
    <t>간트 차트</t>
  </si>
  <si>
    <t>애니메이션 / 액션</t>
  </si>
  <si>
    <t>드래그 앤 드랍</t>
  </si>
  <si>
    <t>구글 캘린더 연동 달력 스케줄링</t>
  </si>
  <si>
    <t>추가</t>
  </si>
  <si>
    <t>제거</t>
  </si>
  <si>
    <t>수정</t>
  </si>
  <si>
    <t>1.1.1.1</t>
  </si>
  <si>
    <t>1.1.1.2</t>
  </si>
  <si>
    <t>todo list app</t>
    <phoneticPr fontId="4" type="noConversion"/>
  </si>
  <si>
    <t>element 생성</t>
  </si>
  <si>
    <t>이름, 마감 시간, 설명 저장</t>
  </si>
  <si>
    <t>백엔드?</t>
  </si>
  <si>
    <t>기본기능</t>
  </si>
  <si>
    <t>로컬에 저장</t>
  </si>
  <si>
    <t>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</si>
</sst>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3" fillId="21" borderId="0" xfId="4" applyFont="1" applyFill="1" applyBorder="1"/>
    <xf numFmtId="0" fontId="9" fillId="21" borderId="0" xfId="4" applyFont="1" applyFill="1" applyBorder="1"/>
    <xf numFmtId="10" fontId="54" fillId="0" borderId="0" xfId="4" applyNumberFormat="1" applyFont="1" applyBorder="1"/>
    <xf numFmtId="10" fontId="54" fillId="21" borderId="0" xfId="4" applyNumberFormat="1" applyFont="1" applyFill="1" applyBorder="1"/>
    <xf numFmtId="0" fontId="47" fillId="19" borderId="20" xfId="4" applyFont="1" applyFill="1" applyBorder="1" applyAlignment="1" applyProtection="1">
      <alignment horizontal="left" vertical="center"/>
    </xf>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10" fontId="23" fillId="0" borderId="30" xfId="6" applyNumberFormat="1" applyFont="1" applyFill="1" applyBorder="1" applyAlignment="1" applyProtection="1">
      <alignment horizontal="righ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3">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xdr:row>
      <xdr:rowOff>76073</xdr:rowOff>
    </xdr:from>
    <xdr:to>
      <xdr:col>31</xdr:col>
      <xdr:colOff>81643</xdr:colOff>
      <xdr:row>21</xdr:row>
      <xdr:rowOff>0</xdr:rowOff>
    </xdr:to>
    <xdr:cxnSp macro="">
      <xdr:nvCxnSpPr>
        <xdr:cNvPr id="23012" name="직선 화살표 연결선 23011">
          <a:extLst>
            <a:ext uri="{FF2B5EF4-FFF2-40B4-BE49-F238E27FC236}">
              <a16:creationId xmlns:a16="http://schemas.microsoft.com/office/drawing/2014/main" id="{D160260B-915A-49E5-A31A-CE1F6578DE19}"/>
            </a:ext>
          </a:extLst>
        </xdr:cNvPr>
        <xdr:cNvCxnSpPr/>
      </xdr:nvCxnSpPr>
      <xdr:spPr>
        <a:xfrm>
          <a:off x="8768443" y="752348"/>
          <a:ext cx="0" cy="259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19</xdr:row>
      <xdr:rowOff>19050</xdr:rowOff>
    </xdr:from>
    <xdr:to>
      <xdr:col>35</xdr:col>
      <xdr:colOff>21680</xdr:colOff>
      <xdr:row>19</xdr:row>
      <xdr:rowOff>133350</xdr:rowOff>
    </xdr:to>
    <xdr:sp macro="" textlink="">
      <xdr:nvSpPr>
        <xdr:cNvPr id="23013" name="16">
          <a:extLst>
            <a:ext uri="{FF2B5EF4-FFF2-40B4-BE49-F238E27FC236}">
              <a16:creationId xmlns:a16="http://schemas.microsoft.com/office/drawing/2014/main" id="{5E50E442-DBE0-4D6E-9C9A-643485E843CB}"/>
            </a:ext>
          </a:extLst>
        </xdr:cNvPr>
        <xdr:cNvSpPr/>
      </xdr:nvSpPr>
      <xdr:spPr>
        <a:xfrm>
          <a:off x="8870497" y="30575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19</xdr:row>
      <xdr:rowOff>76200</xdr:rowOff>
    </xdr:from>
    <xdr:to>
      <xdr:col>32</xdr:col>
      <xdr:colOff>40822</xdr:colOff>
      <xdr:row>19</xdr:row>
      <xdr:rowOff>76200</xdr:rowOff>
    </xdr:to>
    <xdr:cxnSp macro="">
      <xdr:nvCxnSpPr>
        <xdr:cNvPr id="23014" name="직선 화살표 연결선 23013">
          <a:extLst>
            <a:ext uri="{FF2B5EF4-FFF2-40B4-BE49-F238E27FC236}">
              <a16:creationId xmlns:a16="http://schemas.microsoft.com/office/drawing/2014/main" id="{478D124E-3185-43AE-AC05-43AAA9F37C14}"/>
            </a:ext>
          </a:extLst>
        </xdr:cNvPr>
        <xdr:cNvCxnSpPr/>
      </xdr:nvCxnSpPr>
      <xdr:spPr>
        <a:xfrm>
          <a:off x="8870497"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18</xdr:row>
      <xdr:rowOff>19050</xdr:rowOff>
    </xdr:from>
    <xdr:to>
      <xdr:col>35</xdr:col>
      <xdr:colOff>21680</xdr:colOff>
      <xdr:row>18</xdr:row>
      <xdr:rowOff>133350</xdr:rowOff>
    </xdr:to>
    <xdr:sp macro="" textlink="">
      <xdr:nvSpPr>
        <xdr:cNvPr id="23015" name="15">
          <a:extLst>
            <a:ext uri="{FF2B5EF4-FFF2-40B4-BE49-F238E27FC236}">
              <a16:creationId xmlns:a16="http://schemas.microsoft.com/office/drawing/2014/main" id="{01D25C12-7B66-4DFC-B496-5516D267414B}"/>
            </a:ext>
          </a:extLst>
        </xdr:cNvPr>
        <xdr:cNvSpPr/>
      </xdr:nvSpPr>
      <xdr:spPr>
        <a:xfrm>
          <a:off x="8870497" y="29051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18</xdr:row>
      <xdr:rowOff>76200</xdr:rowOff>
    </xdr:from>
    <xdr:to>
      <xdr:col>32</xdr:col>
      <xdr:colOff>40822</xdr:colOff>
      <xdr:row>18</xdr:row>
      <xdr:rowOff>76200</xdr:rowOff>
    </xdr:to>
    <xdr:cxnSp macro="">
      <xdr:nvCxnSpPr>
        <xdr:cNvPr id="23016" name="직선 화살표 연결선 23015">
          <a:extLst>
            <a:ext uri="{FF2B5EF4-FFF2-40B4-BE49-F238E27FC236}">
              <a16:creationId xmlns:a16="http://schemas.microsoft.com/office/drawing/2014/main" id="{18A75B0C-B45E-4A42-A351-35454D11FC1A}"/>
            </a:ext>
          </a:extLst>
        </xdr:cNvPr>
        <xdr:cNvCxnSpPr/>
      </xdr:nvCxnSpPr>
      <xdr:spPr>
        <a:xfrm>
          <a:off x="887049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17</xdr:row>
      <xdr:rowOff>19050</xdr:rowOff>
    </xdr:from>
    <xdr:to>
      <xdr:col>31</xdr:col>
      <xdr:colOff>123734</xdr:colOff>
      <xdr:row>17</xdr:row>
      <xdr:rowOff>133350</xdr:rowOff>
    </xdr:to>
    <xdr:sp macro="" textlink="">
      <xdr:nvSpPr>
        <xdr:cNvPr id="23017" name="14">
          <a:extLst>
            <a:ext uri="{FF2B5EF4-FFF2-40B4-BE49-F238E27FC236}">
              <a16:creationId xmlns:a16="http://schemas.microsoft.com/office/drawing/2014/main" id="{39F4373F-BF46-4A8E-9B32-BE8748D90219}"/>
            </a:ext>
          </a:extLst>
        </xdr:cNvPr>
        <xdr:cNvSpPr/>
      </xdr:nvSpPr>
      <xdr:spPr>
        <a:xfrm>
          <a:off x="8768443" y="2752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17</xdr:row>
      <xdr:rowOff>76200</xdr:rowOff>
    </xdr:from>
    <xdr:to>
      <xdr:col>31</xdr:col>
      <xdr:colOff>81643</xdr:colOff>
      <xdr:row>17</xdr:row>
      <xdr:rowOff>76200</xdr:rowOff>
    </xdr:to>
    <xdr:cxnSp macro="">
      <xdr:nvCxnSpPr>
        <xdr:cNvPr id="23018" name="직선 화살표 연결선 23017">
          <a:extLst>
            <a:ext uri="{FF2B5EF4-FFF2-40B4-BE49-F238E27FC236}">
              <a16:creationId xmlns:a16="http://schemas.microsoft.com/office/drawing/2014/main" id="{46C1379F-2025-4562-A67D-EC7325AD8699}"/>
            </a:ext>
          </a:extLst>
        </xdr:cNvPr>
        <xdr:cNvCxnSpPr/>
      </xdr:nvCxnSpPr>
      <xdr:spPr>
        <a:xfrm>
          <a:off x="8768443"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16</xdr:row>
      <xdr:rowOff>19050</xdr:rowOff>
    </xdr:from>
    <xdr:to>
      <xdr:col>35</xdr:col>
      <xdr:colOff>21680</xdr:colOff>
      <xdr:row>16</xdr:row>
      <xdr:rowOff>133350</xdr:rowOff>
    </xdr:to>
    <xdr:sp macro="" textlink="">
      <xdr:nvSpPr>
        <xdr:cNvPr id="23019" name="13">
          <a:extLst>
            <a:ext uri="{FF2B5EF4-FFF2-40B4-BE49-F238E27FC236}">
              <a16:creationId xmlns:a16="http://schemas.microsoft.com/office/drawing/2014/main" id="{4BDC7894-C919-4EC5-B557-C4E776BBE385}"/>
            </a:ext>
          </a:extLst>
        </xdr:cNvPr>
        <xdr:cNvSpPr/>
      </xdr:nvSpPr>
      <xdr:spPr>
        <a:xfrm>
          <a:off x="8768443" y="2600325"/>
          <a:ext cx="5115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16</xdr:row>
      <xdr:rowOff>76200</xdr:rowOff>
    </xdr:from>
    <xdr:to>
      <xdr:col>31</xdr:col>
      <xdr:colOff>81643</xdr:colOff>
      <xdr:row>16</xdr:row>
      <xdr:rowOff>76200</xdr:rowOff>
    </xdr:to>
    <xdr:cxnSp macro="">
      <xdr:nvCxnSpPr>
        <xdr:cNvPr id="23020" name="직선 화살표 연결선 23019">
          <a:extLst>
            <a:ext uri="{FF2B5EF4-FFF2-40B4-BE49-F238E27FC236}">
              <a16:creationId xmlns:a16="http://schemas.microsoft.com/office/drawing/2014/main" id="{FDEE780C-3760-4882-B6C4-59C5C536081A}"/>
            </a:ext>
          </a:extLst>
        </xdr:cNvPr>
        <xdr:cNvCxnSpPr/>
      </xdr:nvCxnSpPr>
      <xdr:spPr>
        <a:xfrm>
          <a:off x="8768443"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15</xdr:row>
      <xdr:rowOff>19050</xdr:rowOff>
    </xdr:from>
    <xdr:to>
      <xdr:col>35</xdr:col>
      <xdr:colOff>21680</xdr:colOff>
      <xdr:row>15</xdr:row>
      <xdr:rowOff>133350</xdr:rowOff>
    </xdr:to>
    <xdr:sp macro="" textlink="">
      <xdr:nvSpPr>
        <xdr:cNvPr id="23021" name="12">
          <a:extLst>
            <a:ext uri="{FF2B5EF4-FFF2-40B4-BE49-F238E27FC236}">
              <a16:creationId xmlns:a16="http://schemas.microsoft.com/office/drawing/2014/main" id="{2E21FC1F-0EE6-494E-BB18-9891F95C6EB2}"/>
            </a:ext>
          </a:extLst>
        </xdr:cNvPr>
        <xdr:cNvSpPr/>
      </xdr:nvSpPr>
      <xdr:spPr>
        <a:xfrm>
          <a:off x="9135835"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15</xdr:row>
      <xdr:rowOff>76200</xdr:rowOff>
    </xdr:from>
    <xdr:to>
      <xdr:col>34</xdr:col>
      <xdr:colOff>20410</xdr:colOff>
      <xdr:row>15</xdr:row>
      <xdr:rowOff>76200</xdr:rowOff>
    </xdr:to>
    <xdr:cxnSp macro="">
      <xdr:nvCxnSpPr>
        <xdr:cNvPr id="23022" name="직선 화살표 연결선 23021">
          <a:extLst>
            <a:ext uri="{FF2B5EF4-FFF2-40B4-BE49-F238E27FC236}">
              <a16:creationId xmlns:a16="http://schemas.microsoft.com/office/drawing/2014/main" id="{0F76BF72-6811-4E0E-8039-4F54FFCF9D76}"/>
            </a:ext>
          </a:extLst>
        </xdr:cNvPr>
        <xdr:cNvCxnSpPr/>
      </xdr:nvCxnSpPr>
      <xdr:spPr>
        <a:xfrm>
          <a:off x="9135835"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14</xdr:row>
      <xdr:rowOff>19050</xdr:rowOff>
    </xdr:from>
    <xdr:to>
      <xdr:col>34</xdr:col>
      <xdr:colOff>21680</xdr:colOff>
      <xdr:row>14</xdr:row>
      <xdr:rowOff>133350</xdr:rowOff>
    </xdr:to>
    <xdr:sp macro="" textlink="">
      <xdr:nvSpPr>
        <xdr:cNvPr id="23023" name="11">
          <a:extLst>
            <a:ext uri="{FF2B5EF4-FFF2-40B4-BE49-F238E27FC236}">
              <a16:creationId xmlns:a16="http://schemas.microsoft.com/office/drawing/2014/main" id="{05157C6B-CB87-45D2-9B19-6B02AD8BCD61}"/>
            </a:ext>
          </a:extLst>
        </xdr:cNvPr>
        <xdr:cNvSpPr/>
      </xdr:nvSpPr>
      <xdr:spPr>
        <a:xfrm>
          <a:off x="8992960" y="22955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14</xdr:row>
      <xdr:rowOff>76200</xdr:rowOff>
    </xdr:from>
    <xdr:to>
      <xdr:col>33</xdr:col>
      <xdr:colOff>20410</xdr:colOff>
      <xdr:row>14</xdr:row>
      <xdr:rowOff>76200</xdr:rowOff>
    </xdr:to>
    <xdr:cxnSp macro="">
      <xdr:nvCxnSpPr>
        <xdr:cNvPr id="23024" name="직선 화살표 연결선 23023">
          <a:extLst>
            <a:ext uri="{FF2B5EF4-FFF2-40B4-BE49-F238E27FC236}">
              <a16:creationId xmlns:a16="http://schemas.microsoft.com/office/drawing/2014/main" id="{3D10FF5B-6F17-4B1D-91CD-87900402F429}"/>
            </a:ext>
          </a:extLst>
        </xdr:cNvPr>
        <xdr:cNvCxnSpPr/>
      </xdr:nvCxnSpPr>
      <xdr:spPr>
        <a:xfrm>
          <a:off x="8992960"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13</xdr:row>
      <xdr:rowOff>19050</xdr:rowOff>
    </xdr:from>
    <xdr:to>
      <xdr:col>35</xdr:col>
      <xdr:colOff>21680</xdr:colOff>
      <xdr:row>13</xdr:row>
      <xdr:rowOff>133350</xdr:rowOff>
    </xdr:to>
    <xdr:sp macro="" textlink="">
      <xdr:nvSpPr>
        <xdr:cNvPr id="23025" name="10">
          <a:extLst>
            <a:ext uri="{FF2B5EF4-FFF2-40B4-BE49-F238E27FC236}">
              <a16:creationId xmlns:a16="http://schemas.microsoft.com/office/drawing/2014/main" id="{25CC7ECC-7FD2-4F31-9ED6-69E4D172D23A}"/>
            </a:ext>
          </a:extLst>
        </xdr:cNvPr>
        <xdr:cNvSpPr/>
      </xdr:nvSpPr>
      <xdr:spPr>
        <a:xfrm>
          <a:off x="8992960" y="2143125"/>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13</xdr:row>
      <xdr:rowOff>76200</xdr:rowOff>
    </xdr:from>
    <xdr:to>
      <xdr:col>33</xdr:col>
      <xdr:colOff>20410</xdr:colOff>
      <xdr:row>13</xdr:row>
      <xdr:rowOff>76200</xdr:rowOff>
    </xdr:to>
    <xdr:cxnSp macro="">
      <xdr:nvCxnSpPr>
        <xdr:cNvPr id="23026" name="직선 화살표 연결선 23025">
          <a:extLst>
            <a:ext uri="{FF2B5EF4-FFF2-40B4-BE49-F238E27FC236}">
              <a16:creationId xmlns:a16="http://schemas.microsoft.com/office/drawing/2014/main" id="{9E9D42C0-66FA-491A-AD04-53CFBC9BB342}"/>
            </a:ext>
          </a:extLst>
        </xdr:cNvPr>
        <xdr:cNvCxnSpPr/>
      </xdr:nvCxnSpPr>
      <xdr:spPr>
        <a:xfrm>
          <a:off x="8992960"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12</xdr:row>
      <xdr:rowOff>19050</xdr:rowOff>
    </xdr:from>
    <xdr:to>
      <xdr:col>31</xdr:col>
      <xdr:colOff>103323</xdr:colOff>
      <xdr:row>12</xdr:row>
      <xdr:rowOff>133350</xdr:rowOff>
    </xdr:to>
    <xdr:sp macro="" textlink="">
      <xdr:nvSpPr>
        <xdr:cNvPr id="23027" name="9">
          <a:extLst>
            <a:ext uri="{FF2B5EF4-FFF2-40B4-BE49-F238E27FC236}">
              <a16:creationId xmlns:a16="http://schemas.microsoft.com/office/drawing/2014/main" id="{83657CB3-E9B7-4A83-9B09-E95E7D7DE722}"/>
            </a:ext>
          </a:extLst>
        </xdr:cNvPr>
        <xdr:cNvSpPr/>
      </xdr:nvSpPr>
      <xdr:spPr>
        <a:xfrm>
          <a:off x="8768443"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12</xdr:row>
      <xdr:rowOff>76200</xdr:rowOff>
    </xdr:from>
    <xdr:to>
      <xdr:col>31</xdr:col>
      <xdr:colOff>81643</xdr:colOff>
      <xdr:row>12</xdr:row>
      <xdr:rowOff>76200</xdr:rowOff>
    </xdr:to>
    <xdr:cxnSp macro="">
      <xdr:nvCxnSpPr>
        <xdr:cNvPr id="23028" name="직선 화살표 연결선 23027">
          <a:extLst>
            <a:ext uri="{FF2B5EF4-FFF2-40B4-BE49-F238E27FC236}">
              <a16:creationId xmlns:a16="http://schemas.microsoft.com/office/drawing/2014/main" id="{4E811BE8-CA60-4B4A-87BD-FECE3217C738}"/>
            </a:ext>
          </a:extLst>
        </xdr:cNvPr>
        <xdr:cNvCxnSpPr/>
      </xdr:nvCxnSpPr>
      <xdr:spPr>
        <a:xfrm>
          <a:off x="8768443"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11</xdr:row>
      <xdr:rowOff>19050</xdr:rowOff>
    </xdr:from>
    <xdr:to>
      <xdr:col>31</xdr:col>
      <xdr:colOff>82913</xdr:colOff>
      <xdr:row>11</xdr:row>
      <xdr:rowOff>133350</xdr:rowOff>
    </xdr:to>
    <xdr:sp macro="" textlink="">
      <xdr:nvSpPr>
        <xdr:cNvPr id="23029" name="8">
          <a:extLst>
            <a:ext uri="{FF2B5EF4-FFF2-40B4-BE49-F238E27FC236}">
              <a16:creationId xmlns:a16="http://schemas.microsoft.com/office/drawing/2014/main" id="{9B41FB44-EF20-4196-97CB-C34C8B42F71C}"/>
            </a:ext>
          </a:extLst>
        </xdr:cNvPr>
        <xdr:cNvSpPr/>
      </xdr:nvSpPr>
      <xdr:spPr>
        <a:xfrm>
          <a:off x="8727622" y="1838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11</xdr:row>
      <xdr:rowOff>76200</xdr:rowOff>
    </xdr:from>
    <xdr:to>
      <xdr:col>31</xdr:col>
      <xdr:colOff>81643</xdr:colOff>
      <xdr:row>11</xdr:row>
      <xdr:rowOff>76200</xdr:rowOff>
    </xdr:to>
    <xdr:cxnSp macro="">
      <xdr:nvCxnSpPr>
        <xdr:cNvPr id="23030" name="직선 화살표 연결선 23029">
          <a:extLst>
            <a:ext uri="{FF2B5EF4-FFF2-40B4-BE49-F238E27FC236}">
              <a16:creationId xmlns:a16="http://schemas.microsoft.com/office/drawing/2014/main" id="{6521A84A-97FF-4E0C-8876-77D7026B0C8D}"/>
            </a:ext>
          </a:extLst>
        </xdr:cNvPr>
        <xdr:cNvCxnSpPr/>
      </xdr:nvCxnSpPr>
      <xdr:spPr>
        <a:xfrm>
          <a:off x="8727622" y="1895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10</xdr:row>
      <xdr:rowOff>19050</xdr:rowOff>
    </xdr:from>
    <xdr:to>
      <xdr:col>31</xdr:col>
      <xdr:colOff>82913</xdr:colOff>
      <xdr:row>10</xdr:row>
      <xdr:rowOff>133350</xdr:rowOff>
    </xdr:to>
    <xdr:sp macro="" textlink="">
      <xdr:nvSpPr>
        <xdr:cNvPr id="23031" name="7">
          <a:extLst>
            <a:ext uri="{FF2B5EF4-FFF2-40B4-BE49-F238E27FC236}">
              <a16:creationId xmlns:a16="http://schemas.microsoft.com/office/drawing/2014/main" id="{8E8ACB21-4C9E-43DF-907E-AECB312FCBDB}"/>
            </a:ext>
          </a:extLst>
        </xdr:cNvPr>
        <xdr:cNvSpPr/>
      </xdr:nvSpPr>
      <xdr:spPr>
        <a:xfrm>
          <a:off x="8727622" y="16859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10</xdr:row>
      <xdr:rowOff>76200</xdr:rowOff>
    </xdr:from>
    <xdr:to>
      <xdr:col>31</xdr:col>
      <xdr:colOff>81643</xdr:colOff>
      <xdr:row>10</xdr:row>
      <xdr:rowOff>76200</xdr:rowOff>
    </xdr:to>
    <xdr:cxnSp macro="">
      <xdr:nvCxnSpPr>
        <xdr:cNvPr id="23032" name="직선 화살표 연결선 23031">
          <a:extLst>
            <a:ext uri="{FF2B5EF4-FFF2-40B4-BE49-F238E27FC236}">
              <a16:creationId xmlns:a16="http://schemas.microsoft.com/office/drawing/2014/main" id="{7C3BE086-4C29-479A-9A8D-15FF814FC533}"/>
            </a:ext>
          </a:extLst>
        </xdr:cNvPr>
        <xdr:cNvCxnSpPr/>
      </xdr:nvCxnSpPr>
      <xdr:spPr>
        <a:xfrm>
          <a:off x="8727622" y="1743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9</xdr:row>
      <xdr:rowOff>19050</xdr:rowOff>
    </xdr:from>
    <xdr:to>
      <xdr:col>31</xdr:col>
      <xdr:colOff>82913</xdr:colOff>
      <xdr:row>9</xdr:row>
      <xdr:rowOff>133350</xdr:rowOff>
    </xdr:to>
    <xdr:sp macro="" textlink="">
      <xdr:nvSpPr>
        <xdr:cNvPr id="23034" name="6">
          <a:extLst>
            <a:ext uri="{FF2B5EF4-FFF2-40B4-BE49-F238E27FC236}">
              <a16:creationId xmlns:a16="http://schemas.microsoft.com/office/drawing/2014/main" id="{77374476-9C68-459F-A37C-C9764BDBD9D0}"/>
            </a:ext>
          </a:extLst>
        </xdr:cNvPr>
        <xdr:cNvSpPr/>
      </xdr:nvSpPr>
      <xdr:spPr>
        <a:xfrm>
          <a:off x="8727622" y="15335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9</xdr:row>
      <xdr:rowOff>76200</xdr:rowOff>
    </xdr:from>
    <xdr:to>
      <xdr:col>31</xdr:col>
      <xdr:colOff>81643</xdr:colOff>
      <xdr:row>9</xdr:row>
      <xdr:rowOff>76200</xdr:rowOff>
    </xdr:to>
    <xdr:cxnSp macro="">
      <xdr:nvCxnSpPr>
        <xdr:cNvPr id="23035" name="직선 화살표 연결선 23034">
          <a:extLst>
            <a:ext uri="{FF2B5EF4-FFF2-40B4-BE49-F238E27FC236}">
              <a16:creationId xmlns:a16="http://schemas.microsoft.com/office/drawing/2014/main" id="{5AFEC6A9-75B7-49DC-97E7-37C0B2023A3E}"/>
            </a:ext>
          </a:extLst>
        </xdr:cNvPr>
        <xdr:cNvCxnSpPr/>
      </xdr:nvCxnSpPr>
      <xdr:spPr>
        <a:xfrm>
          <a:off x="8727622" y="15906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8</xdr:row>
      <xdr:rowOff>19050</xdr:rowOff>
    </xdr:from>
    <xdr:to>
      <xdr:col>31</xdr:col>
      <xdr:colOff>82913</xdr:colOff>
      <xdr:row>8</xdr:row>
      <xdr:rowOff>133350</xdr:rowOff>
    </xdr:to>
    <xdr:sp macro="" textlink="">
      <xdr:nvSpPr>
        <xdr:cNvPr id="23036" name="5">
          <a:extLst>
            <a:ext uri="{FF2B5EF4-FFF2-40B4-BE49-F238E27FC236}">
              <a16:creationId xmlns:a16="http://schemas.microsoft.com/office/drawing/2014/main" id="{9948288D-2008-4040-B406-1D701F5C0499}"/>
            </a:ext>
          </a:extLst>
        </xdr:cNvPr>
        <xdr:cNvSpPr/>
      </xdr:nvSpPr>
      <xdr:spPr>
        <a:xfrm>
          <a:off x="8727622" y="1381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8</xdr:row>
      <xdr:rowOff>76200</xdr:rowOff>
    </xdr:from>
    <xdr:to>
      <xdr:col>31</xdr:col>
      <xdr:colOff>81643</xdr:colOff>
      <xdr:row>8</xdr:row>
      <xdr:rowOff>76200</xdr:rowOff>
    </xdr:to>
    <xdr:cxnSp macro="">
      <xdr:nvCxnSpPr>
        <xdr:cNvPr id="23037" name="직선 화살표 연결선 23036">
          <a:extLst>
            <a:ext uri="{FF2B5EF4-FFF2-40B4-BE49-F238E27FC236}">
              <a16:creationId xmlns:a16="http://schemas.microsoft.com/office/drawing/2014/main" id="{6DA62DAF-E0A5-4003-9F28-BFC0846C78AB}"/>
            </a:ext>
          </a:extLst>
        </xdr:cNvPr>
        <xdr:cNvCxnSpPr/>
      </xdr:nvCxnSpPr>
      <xdr:spPr>
        <a:xfrm>
          <a:off x="8727622" y="14382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7</xdr:row>
      <xdr:rowOff>19050</xdr:rowOff>
    </xdr:from>
    <xdr:to>
      <xdr:col>31</xdr:col>
      <xdr:colOff>82913</xdr:colOff>
      <xdr:row>7</xdr:row>
      <xdr:rowOff>133350</xdr:rowOff>
    </xdr:to>
    <xdr:sp macro="" textlink="">
      <xdr:nvSpPr>
        <xdr:cNvPr id="23039" name="4">
          <a:extLst>
            <a:ext uri="{FF2B5EF4-FFF2-40B4-BE49-F238E27FC236}">
              <a16:creationId xmlns:a16="http://schemas.microsoft.com/office/drawing/2014/main" id="{759BEDF9-5410-4001-990C-2570F27B471A}"/>
            </a:ext>
          </a:extLst>
        </xdr:cNvPr>
        <xdr:cNvSpPr/>
      </xdr:nvSpPr>
      <xdr:spPr>
        <a:xfrm>
          <a:off x="8727622" y="12287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7</xdr:row>
      <xdr:rowOff>76200</xdr:rowOff>
    </xdr:from>
    <xdr:to>
      <xdr:col>31</xdr:col>
      <xdr:colOff>81643</xdr:colOff>
      <xdr:row>7</xdr:row>
      <xdr:rowOff>76200</xdr:rowOff>
    </xdr:to>
    <xdr:cxnSp macro="">
      <xdr:nvCxnSpPr>
        <xdr:cNvPr id="3776" name="직선 화살표 연결선 3775">
          <a:extLst>
            <a:ext uri="{FF2B5EF4-FFF2-40B4-BE49-F238E27FC236}">
              <a16:creationId xmlns:a16="http://schemas.microsoft.com/office/drawing/2014/main" id="{049A521C-A518-4EC7-B35B-1B126CB0B9BD}"/>
            </a:ext>
          </a:extLst>
        </xdr:cNvPr>
        <xdr:cNvCxnSpPr/>
      </xdr:nvCxnSpPr>
      <xdr:spPr>
        <a:xfrm>
          <a:off x="8727622" y="12858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6</xdr:row>
      <xdr:rowOff>19050</xdr:rowOff>
    </xdr:from>
    <xdr:to>
      <xdr:col>31</xdr:col>
      <xdr:colOff>82913</xdr:colOff>
      <xdr:row>6</xdr:row>
      <xdr:rowOff>133350</xdr:rowOff>
    </xdr:to>
    <xdr:sp macro="" textlink="">
      <xdr:nvSpPr>
        <xdr:cNvPr id="3777" name="3">
          <a:extLst>
            <a:ext uri="{FF2B5EF4-FFF2-40B4-BE49-F238E27FC236}">
              <a16:creationId xmlns:a16="http://schemas.microsoft.com/office/drawing/2014/main" id="{4F966AB3-42DD-40F9-B6DC-24A37ED994EC}"/>
            </a:ext>
          </a:extLst>
        </xdr:cNvPr>
        <xdr:cNvSpPr/>
      </xdr:nvSpPr>
      <xdr:spPr>
        <a:xfrm>
          <a:off x="8727622" y="10763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81643</xdr:colOff>
      <xdr:row>6</xdr:row>
      <xdr:rowOff>76200</xdr:rowOff>
    </xdr:to>
    <xdr:cxnSp macro="">
      <xdr:nvCxnSpPr>
        <xdr:cNvPr id="3778" name="직선 화살표 연결선 3777">
          <a:extLst>
            <a:ext uri="{FF2B5EF4-FFF2-40B4-BE49-F238E27FC236}">
              <a16:creationId xmlns:a16="http://schemas.microsoft.com/office/drawing/2014/main" id="{53B5DCBF-2F8F-4A80-9059-1AA2CC754111}"/>
            </a:ext>
          </a:extLst>
        </xdr:cNvPr>
        <xdr:cNvCxnSpPr/>
      </xdr:nvCxnSpPr>
      <xdr:spPr>
        <a:xfrm>
          <a:off x="8727622" y="1133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82913</xdr:colOff>
      <xdr:row>5</xdr:row>
      <xdr:rowOff>133350</xdr:rowOff>
    </xdr:to>
    <xdr:sp macro="" textlink="">
      <xdr:nvSpPr>
        <xdr:cNvPr id="3779" name="2">
          <a:extLst>
            <a:ext uri="{FF2B5EF4-FFF2-40B4-BE49-F238E27FC236}">
              <a16:creationId xmlns:a16="http://schemas.microsoft.com/office/drawing/2014/main" id="{699847B2-443B-49E9-9249-9AD0C461D1D7}"/>
            </a:ext>
          </a:extLst>
        </xdr:cNvPr>
        <xdr:cNvSpPr/>
      </xdr:nvSpPr>
      <xdr:spPr>
        <a:xfrm>
          <a:off x="8727622" y="9239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81643</xdr:colOff>
      <xdr:row>5</xdr:row>
      <xdr:rowOff>76200</xdr:rowOff>
    </xdr:to>
    <xdr:cxnSp macro="">
      <xdr:nvCxnSpPr>
        <xdr:cNvPr id="3780" name="직선 화살표 연결선 3779">
          <a:extLst>
            <a:ext uri="{FF2B5EF4-FFF2-40B4-BE49-F238E27FC236}">
              <a16:creationId xmlns:a16="http://schemas.microsoft.com/office/drawing/2014/main" id="{F167B977-1769-4317-88B6-AD30712B077E}"/>
            </a:ext>
          </a:extLst>
        </xdr:cNvPr>
        <xdr:cNvCxnSpPr/>
      </xdr:nvCxnSpPr>
      <xdr:spPr>
        <a:xfrm>
          <a:off x="8727622" y="9810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35</xdr:col>
      <xdr:colOff>21680</xdr:colOff>
      <xdr:row>4</xdr:row>
      <xdr:rowOff>133350</xdr:rowOff>
    </xdr:to>
    <xdr:sp macro="" textlink="">
      <xdr:nvSpPr>
        <xdr:cNvPr id="3781" name="1">
          <a:extLst>
            <a:ext uri="{FF2B5EF4-FFF2-40B4-BE49-F238E27FC236}">
              <a16:creationId xmlns:a16="http://schemas.microsoft.com/office/drawing/2014/main" id="{23548A22-DDD6-4396-85CD-D4C7D4E24ADA}"/>
            </a:ext>
          </a:extLst>
        </xdr:cNvPr>
        <xdr:cNvSpPr/>
      </xdr:nvSpPr>
      <xdr:spPr>
        <a:xfrm>
          <a:off x="8727622" y="771525"/>
          <a:ext cx="55235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33</xdr:col>
      <xdr:colOff>17495</xdr:colOff>
      <xdr:row>4</xdr:row>
      <xdr:rowOff>76200</xdr:rowOff>
    </xdr:to>
    <xdr:cxnSp macro="">
      <xdr:nvCxnSpPr>
        <xdr:cNvPr id="3782" name="직선 화살표 연결선 3781">
          <a:extLst>
            <a:ext uri="{FF2B5EF4-FFF2-40B4-BE49-F238E27FC236}">
              <a16:creationId xmlns:a16="http://schemas.microsoft.com/office/drawing/2014/main" id="{0FAE6926-3E7C-4D80-950C-9B4CC1896590}"/>
            </a:ext>
          </a:extLst>
        </xdr:cNvPr>
        <xdr:cNvCxnSpPr/>
      </xdr:nvCxnSpPr>
      <xdr:spPr>
        <a:xfrm>
          <a:off x="8727622" y="828675"/>
          <a:ext cx="2624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1418</v>
      </c>
      <c r="C6" s="72"/>
      <c r="D6" s="72"/>
      <c r="E6" s="72" t="s">
        <v>11</v>
      </c>
      <c r="F6" s="72"/>
    </row>
    <row r="7" spans="1:64">
      <c r="A7" s="71" t="s">
        <v>16</v>
      </c>
      <c r="B7" s="71" t="s">
        <v>10</v>
      </c>
      <c r="C7" s="72"/>
      <c r="D7" s="72"/>
      <c r="E7" s="72" t="s">
        <v>11</v>
      </c>
      <c r="F7" s="72"/>
    </row>
    <row r="8" spans="1:64">
      <c r="A8" s="71" t="s">
        <v>17</v>
      </c>
      <c r="B8" s="74" t="s">
        <v>1568</v>
      </c>
      <c r="C8" s="72" t="s">
        <v>1415</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1286</v>
      </c>
      <c r="D11" s="70" t="s">
        <v>23</v>
      </c>
      <c r="E11" s="79">
        <v>1</v>
      </c>
      <c r="F11" s="80" t="s">
        <v>24</v>
      </c>
      <c r="G11" s="81">
        <v>44593</v>
      </c>
      <c r="H11" s="80" t="s">
        <v>25</v>
      </c>
      <c r="I11" s="81">
        <v>44619</v>
      </c>
      <c r="J11" s="73" t="s">
        <v>403</v>
      </c>
      <c r="K11" s="73" t="s">
        <v>1416</v>
      </c>
      <c r="L11" s="73" t="s">
        <v>400</v>
      </c>
      <c r="M11" s="73">
        <v>1</v>
      </c>
      <c r="N11" s="78" t="s">
        <v>26</v>
      </c>
      <c r="O11" s="70">
        <v>0</v>
      </c>
      <c r="P11" s="70" t="s">
        <v>27</v>
      </c>
      <c r="Q11" s="78" t="s">
        <v>1372</v>
      </c>
      <c r="R11" s="73" t="s">
        <v>405</v>
      </c>
      <c r="S11" s="73">
        <v>1</v>
      </c>
      <c r="T11" s="73" t="s">
        <v>410</v>
      </c>
      <c r="U11" s="73">
        <v>1</v>
      </c>
      <c r="V11" s="73" t="s">
        <v>411</v>
      </c>
      <c r="W11" s="73">
        <v>1</v>
      </c>
      <c r="X11" s="73" t="s">
        <v>414</v>
      </c>
      <c r="Y11" s="73">
        <v>1</v>
      </c>
      <c r="Z11" s="73" t="s">
        <v>563</v>
      </c>
      <c r="AA11" s="73">
        <v>0</v>
      </c>
      <c r="AB11" s="73" t="s">
        <v>965</v>
      </c>
      <c r="AC11" s="73">
        <v>0</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972</v>
      </c>
      <c r="AI12" s="73">
        <v>9</v>
      </c>
      <c r="AJ12" s="73" t="s">
        <v>1251</v>
      </c>
      <c r="AK12" s="73">
        <v>1</v>
      </c>
      <c r="AL12" s="73" t="s">
        <v>1252</v>
      </c>
      <c r="AM12" s="73">
        <v>1</v>
      </c>
      <c r="AN12" s="73" t="s">
        <v>1253</v>
      </c>
      <c r="AO12" s="73">
        <v>1</v>
      </c>
      <c r="AP12" s="73" t="s">
        <v>1254</v>
      </c>
      <c r="AQ12" s="135" t="s">
        <v>1369</v>
      </c>
      <c r="AR12" s="73" t="s">
        <v>1407</v>
      </c>
      <c r="AS12" s="73">
        <v>-4131</v>
      </c>
    </row>
    <row r="13" spans="1:64">
      <c r="A13" s="72" t="s">
        <v>387</v>
      </c>
      <c r="B13" s="78" t="s">
        <v>28</v>
      </c>
      <c r="C13" s="70">
        <v>1</v>
      </c>
      <c r="D13" s="78" t="s">
        <v>29</v>
      </c>
      <c r="E13" s="70" t="s">
        <v>1316</v>
      </c>
      <c r="F13" s="70" t="s">
        <v>30</v>
      </c>
      <c r="G13" s="80" t="s">
        <v>528</v>
      </c>
      <c r="H13" s="80" t="s">
        <v>31</v>
      </c>
      <c r="I13" s="73" t="s">
        <v>528</v>
      </c>
    </row>
    <row r="14" spans="1:64">
      <c r="A14" s="72" t="s">
        <v>388</v>
      </c>
      <c r="B14" s="79" t="s">
        <v>32</v>
      </c>
      <c r="C14" s="79" t="s">
        <v>1573</v>
      </c>
      <c r="D14" s="79" t="s">
        <v>33</v>
      </c>
      <c r="E14" s="79" t="s">
        <v>540</v>
      </c>
      <c r="F14" s="79" t="s">
        <v>34</v>
      </c>
      <c r="G14" s="79" t="s">
        <v>1574</v>
      </c>
      <c r="H14" s="79" t="s">
        <v>35</v>
      </c>
      <c r="I14" s="79" t="b">
        <v>0</v>
      </c>
      <c r="J14" s="79" t="s">
        <v>36</v>
      </c>
      <c r="K14" s="79" t="s">
        <v>1575</v>
      </c>
      <c r="L14" s="79" t="s">
        <v>37</v>
      </c>
      <c r="M14" s="79" t="s">
        <v>551</v>
      </c>
      <c r="N14" s="79" t="s">
        <v>38</v>
      </c>
      <c r="O14" s="79" t="s">
        <v>1574</v>
      </c>
      <c r="P14" s="79" t="s">
        <v>39</v>
      </c>
      <c r="Q14" s="79" t="b">
        <v>0</v>
      </c>
      <c r="R14" s="79" t="s">
        <v>40</v>
      </c>
      <c r="S14" s="79" t="s">
        <v>1576</v>
      </c>
      <c r="T14" s="79" t="s">
        <v>41</v>
      </c>
      <c r="U14" s="79" t="s">
        <v>552</v>
      </c>
      <c r="V14" s="79" t="s">
        <v>42</v>
      </c>
      <c r="W14" s="79" t="s">
        <v>1574</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1340</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7" t="s">
        <v>1420</v>
      </c>
      <c r="B1" s="248"/>
      <c r="C1" s="248"/>
      <c r="D1" s="248"/>
      <c r="E1" s="248"/>
      <c r="F1" s="248"/>
      <c r="G1" s="248"/>
      <c r="H1" s="182"/>
      <c r="I1" s="182"/>
      <c r="J1" s="240" t="s">
        <v>1570</v>
      </c>
      <c r="K1" s="241"/>
      <c r="L1" s="241"/>
      <c r="M1" s="183"/>
    </row>
    <row r="2" spans="1:13" s="104" customFormat="1" ht="33.75" customHeight="1">
      <c r="A2" s="249"/>
      <c r="B2" s="250"/>
      <c r="C2" s="250"/>
      <c r="D2" s="250"/>
      <c r="E2" s="250"/>
      <c r="F2" s="250"/>
      <c r="G2" s="250"/>
      <c r="H2" s="245" t="s">
        <v>1421</v>
      </c>
      <c r="I2" s="246"/>
      <c r="J2" s="246"/>
      <c r="K2" s="246"/>
      <c r="L2" s="246"/>
      <c r="M2" s="184"/>
    </row>
    <row r="4" spans="1:13" ht="17.25" customHeight="1">
      <c r="B4" s="242" t="s">
        <v>1422</v>
      </c>
      <c r="C4" s="242"/>
      <c r="D4" s="242"/>
      <c r="E4" s="242"/>
      <c r="F4" s="242"/>
      <c r="G4" s="242"/>
      <c r="H4" s="242"/>
      <c r="I4" s="242"/>
      <c r="J4" s="242"/>
      <c r="K4" s="242"/>
      <c r="L4" s="242"/>
    </row>
    <row r="5" spans="1:13" ht="27.75" customHeight="1">
      <c r="B5" s="242"/>
      <c r="C5" s="242"/>
      <c r="D5" s="242"/>
      <c r="E5" s="242"/>
      <c r="F5" s="242"/>
      <c r="G5" s="242"/>
      <c r="H5" s="242"/>
      <c r="I5" s="242"/>
      <c r="J5" s="242"/>
      <c r="K5" s="242"/>
      <c r="L5" s="242"/>
    </row>
    <row r="6" spans="1:13" s="104" customFormat="1" ht="12.75">
      <c r="B6" s="105"/>
    </row>
    <row r="7" spans="1:13" s="104" customFormat="1" ht="18.75">
      <c r="B7" s="106" t="s">
        <v>1423</v>
      </c>
      <c r="D7" s="107"/>
    </row>
    <row r="8" spans="1:13" s="104" customFormat="1" ht="7.5" customHeight="1">
      <c r="B8" s="105"/>
    </row>
    <row r="9" spans="1:13" s="104" customFormat="1" ht="34.5" customHeight="1" thickBot="1">
      <c r="A9" s="108"/>
      <c r="B9" s="109" t="s">
        <v>533</v>
      </c>
      <c r="C9" s="108"/>
      <c r="D9" s="244" t="s">
        <v>1147</v>
      </c>
      <c r="E9" s="244"/>
      <c r="F9" s="244"/>
      <c r="G9" s="244"/>
      <c r="H9" s="244"/>
      <c r="I9" s="244"/>
      <c r="J9" s="244"/>
      <c r="K9" s="244"/>
      <c r="L9" s="244"/>
    </row>
    <row r="10" spans="1:13" s="104" customFormat="1" ht="27.75" customHeight="1" thickTop="1" thickBot="1">
      <c r="A10" s="108"/>
      <c r="B10" s="110" t="s">
        <v>534</v>
      </c>
      <c r="C10" s="108"/>
      <c r="D10" s="244" t="s">
        <v>1424</v>
      </c>
      <c r="E10" s="244"/>
      <c r="F10" s="244"/>
      <c r="G10" s="244"/>
      <c r="H10" s="244"/>
      <c r="I10" s="244"/>
      <c r="J10" s="244"/>
      <c r="K10" s="244"/>
      <c r="L10" s="244"/>
    </row>
    <row r="11" spans="1:13" s="104" customFormat="1" ht="27.75" customHeight="1" thickTop="1" thickBot="1">
      <c r="A11" s="108"/>
      <c r="B11" s="111" t="s">
        <v>535</v>
      </c>
      <c r="C11" s="108"/>
      <c r="D11" s="244" t="s">
        <v>1425</v>
      </c>
      <c r="E11" s="244"/>
      <c r="F11" s="244"/>
      <c r="G11" s="244"/>
      <c r="H11" s="244"/>
      <c r="I11" s="244"/>
      <c r="J11" s="244"/>
      <c r="K11" s="244"/>
      <c r="L11" s="244"/>
    </row>
    <row r="12" spans="1:13" s="104" customFormat="1" ht="27.75" customHeight="1" thickTop="1" thickBot="1">
      <c r="A12" s="108"/>
      <c r="B12" s="112" t="s">
        <v>536</v>
      </c>
      <c r="C12" s="108"/>
      <c r="D12" s="244" t="s">
        <v>1426</v>
      </c>
      <c r="E12" s="244"/>
      <c r="F12" s="244"/>
      <c r="G12" s="244"/>
      <c r="H12" s="244"/>
      <c r="I12" s="244"/>
      <c r="J12" s="244"/>
      <c r="K12" s="244"/>
      <c r="L12" s="244"/>
    </row>
    <row r="13" spans="1:13" s="104" customFormat="1" ht="27.75" customHeight="1" thickTop="1" thickBot="1">
      <c r="A13" s="108"/>
      <c r="B13" s="113" t="s">
        <v>1091</v>
      </c>
      <c r="C13" s="108"/>
      <c r="D13" s="244" t="s">
        <v>1188</v>
      </c>
      <c r="E13" s="244"/>
      <c r="F13" s="244"/>
      <c r="G13" s="244"/>
      <c r="H13" s="244"/>
      <c r="I13" s="244"/>
      <c r="J13" s="244"/>
      <c r="K13" s="244"/>
      <c r="L13" s="244"/>
    </row>
    <row r="14" spans="1:13" s="104" customFormat="1" ht="27.75" customHeight="1" thickTop="1" thickBot="1">
      <c r="A14" s="108"/>
      <c r="B14" s="113" t="s">
        <v>1008</v>
      </c>
      <c r="C14" s="108"/>
      <c r="D14" s="243" t="s">
        <v>1427</v>
      </c>
      <c r="E14" s="243"/>
      <c r="F14" s="243"/>
      <c r="G14" s="243"/>
      <c r="H14" s="243"/>
      <c r="I14" s="243"/>
      <c r="J14" s="243"/>
      <c r="K14" s="243"/>
      <c r="L14" s="243"/>
    </row>
    <row r="15" spans="1:13" s="104" customFormat="1" ht="27.75" customHeight="1" thickTop="1" thickBot="1">
      <c r="A15" s="108"/>
      <c r="B15" s="114" t="s">
        <v>537</v>
      </c>
      <c r="C15" s="108"/>
      <c r="D15" s="244" t="s">
        <v>1428</v>
      </c>
      <c r="E15" s="244"/>
      <c r="F15" s="244"/>
      <c r="G15" s="244"/>
      <c r="H15" s="244"/>
      <c r="I15" s="244"/>
      <c r="J15" s="244"/>
      <c r="K15" s="244"/>
      <c r="L15" s="244"/>
    </row>
    <row r="16" spans="1:13" ht="16.5" thickTop="1">
      <c r="A16" s="115"/>
      <c r="B16" s="116"/>
      <c r="C16" s="115"/>
      <c r="D16" s="117"/>
      <c r="E16" s="117"/>
      <c r="F16" s="117"/>
      <c r="G16" s="117"/>
      <c r="H16" s="117"/>
      <c r="I16" s="117"/>
      <c r="J16" s="117"/>
      <c r="K16" s="117"/>
      <c r="L16" s="117"/>
    </row>
    <row r="17" spans="2:12" s="104" customFormat="1" ht="18.75">
      <c r="B17" s="106" t="s">
        <v>1429</v>
      </c>
      <c r="D17" s="107"/>
    </row>
    <row r="18" spans="2:12" s="104" customFormat="1" ht="5.25" customHeight="1">
      <c r="B18" s="118"/>
      <c r="D18" s="107"/>
    </row>
    <row r="19" spans="2:12" s="104" customFormat="1" ht="24.75" customHeight="1" thickBot="1">
      <c r="B19" s="119" t="s">
        <v>1430</v>
      </c>
      <c r="D19" s="238" t="s">
        <v>1440</v>
      </c>
      <c r="E19" s="238"/>
      <c r="F19" s="238"/>
      <c r="G19" s="238"/>
      <c r="H19" s="238"/>
      <c r="I19" s="238"/>
      <c r="J19" s="238"/>
      <c r="K19" s="238"/>
      <c r="L19" s="126" t="s">
        <v>1174</v>
      </c>
    </row>
    <row r="20" spans="2:12" s="104" customFormat="1" ht="41.25" customHeight="1" thickTop="1" thickBot="1">
      <c r="B20" s="119" t="s">
        <v>1577</v>
      </c>
      <c r="D20" s="238" t="s">
        <v>1441</v>
      </c>
      <c r="E20" s="238"/>
      <c r="F20" s="238"/>
      <c r="G20" s="238"/>
      <c r="H20" s="238"/>
      <c r="I20" s="238"/>
      <c r="J20" s="238"/>
      <c r="K20" s="238"/>
      <c r="L20" s="126" t="s">
        <v>1174</v>
      </c>
    </row>
    <row r="21" spans="2:12" s="104" customFormat="1" ht="37.5" customHeight="1" thickTop="1" thickBot="1">
      <c r="B21" s="119" t="s">
        <v>1431</v>
      </c>
      <c r="D21" s="238" t="s">
        <v>1442</v>
      </c>
      <c r="E21" s="238"/>
      <c r="F21" s="238"/>
      <c r="G21" s="238"/>
      <c r="H21" s="238"/>
      <c r="I21" s="238"/>
      <c r="J21" s="238"/>
      <c r="K21" s="238"/>
      <c r="L21" s="126" t="s">
        <v>1174</v>
      </c>
    </row>
    <row r="22" spans="2:12" s="104" customFormat="1" ht="41.25" customHeight="1" thickTop="1" thickBot="1">
      <c r="B22" s="119" t="s">
        <v>1432</v>
      </c>
      <c r="D22" s="238" t="s">
        <v>1443</v>
      </c>
      <c r="E22" s="238"/>
      <c r="F22" s="238"/>
      <c r="G22" s="238"/>
      <c r="H22" s="238"/>
      <c r="I22" s="238"/>
      <c r="J22" s="238"/>
      <c r="K22" s="238"/>
      <c r="L22" s="126" t="s">
        <v>1174</v>
      </c>
    </row>
    <row r="23" spans="2:12" s="104" customFormat="1" ht="36" customHeight="1" thickTop="1" thickBot="1">
      <c r="B23" s="119" t="s">
        <v>1433</v>
      </c>
      <c r="D23" s="238" t="s">
        <v>1203</v>
      </c>
      <c r="E23" s="238"/>
      <c r="F23" s="238"/>
      <c r="G23" s="238"/>
      <c r="H23" s="238"/>
      <c r="I23" s="238"/>
      <c r="J23" s="238"/>
      <c r="K23" s="238"/>
      <c r="L23" s="126" t="s">
        <v>1174</v>
      </c>
    </row>
    <row r="24" spans="2:12" s="104" customFormat="1" ht="52.5" customHeight="1" thickTop="1" thickBot="1">
      <c r="B24" s="119" t="s">
        <v>1434</v>
      </c>
      <c r="D24" s="238" t="s">
        <v>1444</v>
      </c>
      <c r="E24" s="238"/>
      <c r="F24" s="238"/>
      <c r="G24" s="238"/>
      <c r="H24" s="238"/>
      <c r="I24" s="238"/>
      <c r="J24" s="238"/>
      <c r="K24" s="238"/>
      <c r="L24" s="126" t="s">
        <v>1174</v>
      </c>
    </row>
    <row r="25" spans="2:12" s="104" customFormat="1" ht="57" customHeight="1" thickTop="1" thickBot="1">
      <c r="B25" s="119" t="s">
        <v>1435</v>
      </c>
      <c r="D25" s="238" t="s">
        <v>1445</v>
      </c>
      <c r="E25" s="238"/>
      <c r="F25" s="238"/>
      <c r="G25" s="238"/>
      <c r="H25" s="238"/>
      <c r="I25" s="238"/>
      <c r="J25" s="238"/>
      <c r="K25" s="238"/>
      <c r="L25" s="126" t="s">
        <v>1174</v>
      </c>
    </row>
    <row r="26" spans="2:12" s="104" customFormat="1" ht="48.75" customHeight="1" thickTop="1" thickBot="1">
      <c r="B26" s="119" t="s">
        <v>1436</v>
      </c>
      <c r="D26" s="238" t="s">
        <v>1446</v>
      </c>
      <c r="E26" s="238"/>
      <c r="F26" s="238"/>
      <c r="G26" s="238"/>
      <c r="H26" s="238"/>
      <c r="I26" s="238"/>
      <c r="J26" s="238"/>
      <c r="K26" s="238"/>
      <c r="L26" s="126" t="s">
        <v>1174</v>
      </c>
    </row>
    <row r="27" spans="2:12" s="104" customFormat="1" ht="43.5" customHeight="1" thickTop="1" thickBot="1">
      <c r="B27" s="119" t="s">
        <v>1437</v>
      </c>
      <c r="D27" s="238" t="s">
        <v>1447</v>
      </c>
      <c r="E27" s="238"/>
      <c r="F27" s="238"/>
      <c r="G27" s="238"/>
      <c r="H27" s="238"/>
      <c r="I27" s="238"/>
      <c r="J27" s="238"/>
      <c r="K27" s="238"/>
      <c r="L27" s="126" t="s">
        <v>1174</v>
      </c>
    </row>
    <row r="28" spans="2:12" s="104" customFormat="1" ht="43.5" customHeight="1" thickTop="1" thickBot="1">
      <c r="B28" s="119" t="s">
        <v>1438</v>
      </c>
      <c r="D28" s="238" t="s">
        <v>1448</v>
      </c>
      <c r="E28" s="238"/>
      <c r="F28" s="238"/>
      <c r="G28" s="238"/>
      <c r="H28" s="238"/>
      <c r="I28" s="238"/>
      <c r="J28" s="238"/>
      <c r="K28" s="238"/>
      <c r="L28" s="126" t="s">
        <v>1174</v>
      </c>
    </row>
    <row r="29" spans="2:12" s="104" customFormat="1" ht="50.25" customHeight="1" thickTop="1" thickBot="1">
      <c r="B29" s="119" t="s">
        <v>536</v>
      </c>
      <c r="D29" s="238" t="s">
        <v>1209</v>
      </c>
      <c r="E29" s="238"/>
      <c r="F29" s="238"/>
      <c r="G29" s="238"/>
      <c r="H29" s="238"/>
      <c r="I29" s="238"/>
      <c r="J29" s="238"/>
      <c r="K29" s="238"/>
      <c r="L29" s="126" t="s">
        <v>1174</v>
      </c>
    </row>
    <row r="30" spans="2:12" s="104" customFormat="1" ht="57.75" customHeight="1" thickTop="1" thickBot="1">
      <c r="B30" s="119" t="s">
        <v>1172</v>
      </c>
      <c r="D30" s="238" t="s">
        <v>1449</v>
      </c>
      <c r="E30" s="238"/>
      <c r="F30" s="238"/>
      <c r="G30" s="238"/>
      <c r="H30" s="238"/>
      <c r="I30" s="238"/>
      <c r="J30" s="238"/>
      <c r="K30" s="238"/>
      <c r="L30" s="126" t="s">
        <v>1174</v>
      </c>
    </row>
    <row r="31" spans="2:12" s="104" customFormat="1" ht="67.5" customHeight="1" thickTop="1" thickBot="1">
      <c r="B31" s="119" t="s">
        <v>1439</v>
      </c>
      <c r="D31" s="238" t="s">
        <v>1211</v>
      </c>
      <c r="E31" s="238"/>
      <c r="F31" s="238"/>
      <c r="G31" s="238"/>
      <c r="H31" s="238"/>
      <c r="I31" s="238"/>
      <c r="J31" s="238"/>
      <c r="K31" s="238"/>
      <c r="L31" s="126" t="s">
        <v>1174</v>
      </c>
    </row>
    <row r="32" spans="2:12" s="104" customFormat="1" thickTop="1">
      <c r="B32" s="120"/>
      <c r="D32" s="107"/>
      <c r="L32" s="108"/>
    </row>
    <row r="33" spans="2:12" s="104" customFormat="1" ht="18.75" customHeight="1">
      <c r="B33" s="121" t="s">
        <v>1572</v>
      </c>
      <c r="C33" s="122"/>
      <c r="D33" s="123"/>
      <c r="E33" s="122"/>
      <c r="F33" s="122"/>
      <c r="G33" s="122"/>
      <c r="H33" s="122"/>
      <c r="I33" s="122"/>
      <c r="J33" s="122"/>
      <c r="K33" s="122"/>
      <c r="L33" s="124"/>
    </row>
    <row r="34" spans="2:12" s="104" customFormat="1" ht="59.25" customHeight="1">
      <c r="B34" s="239" t="s">
        <v>1450</v>
      </c>
      <c r="C34" s="239"/>
      <c r="D34" s="239"/>
      <c r="E34" s="239"/>
      <c r="F34" s="239"/>
      <c r="G34" s="239"/>
      <c r="H34" s="239"/>
      <c r="I34" s="239"/>
      <c r="J34" s="239"/>
      <c r="K34" s="239"/>
      <c r="L34" s="239"/>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N2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43" hidden="1" customWidth="1"/>
    <col min="2" max="2" width="9" style="143" hidden="1" customWidth="1"/>
    <col min="3" max="3" width="8.375" style="143" hidden="1" customWidth="1"/>
    <col min="4" max="4" width="9.75" style="185" customWidth="1"/>
    <col min="5" max="13" width="2.75" style="144" customWidth="1"/>
    <col min="14" max="14" width="4.5" style="144" bestFit="1" customWidth="1"/>
    <col min="15" max="15" width="5.25" style="144" bestFit="1"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2.625" style="146" customWidth="1"/>
    <col min="29" max="29" width="10.25" style="150" bestFit="1" customWidth="1"/>
    <col min="30" max="30" width="7.75" style="151" bestFit="1" customWidth="1"/>
    <col min="31" max="31" width="7.25" style="152" customWidth="1"/>
    <col min="32" max="66" width="1.875" style="142" customWidth="1"/>
    <col min="67" max="16384" width="10" style="142"/>
  </cols>
  <sheetData>
    <row r="1" spans="1:66" s="139" customFormat="1" ht="20.100000000000001" customHeight="1">
      <c r="A1" s="153"/>
      <c r="B1" s="154"/>
      <c r="C1" s="155"/>
      <c r="D1" s="186" t="s">
        <v>1606</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2022-02-01~2022-02-27 [계획:27.03% 실적:27.03%]</v>
      </c>
      <c r="AF1" s="174" t="s">
        <v>1569</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6" s="139" customFormat="1" ht="15" customHeight="1">
      <c r="A2" s="153"/>
      <c r="B2" s="153"/>
      <c r="C2" s="155"/>
      <c r="D2" s="256"/>
      <c r="E2" s="256"/>
      <c r="F2" s="256"/>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3" t="s">
        <v>1307</v>
      </c>
      <c r="AG2" s="253"/>
      <c r="AH2" s="253"/>
      <c r="AI2" s="253"/>
      <c r="AJ2" s="253" t="s">
        <v>1335</v>
      </c>
      <c r="AK2" s="253"/>
      <c r="AL2" s="253"/>
      <c r="AM2" s="253"/>
      <c r="AN2" s="237"/>
      <c r="AO2" s="237"/>
      <c r="AP2" s="237"/>
      <c r="AQ2" s="237"/>
      <c r="AR2" s="237"/>
      <c r="AS2" s="237"/>
      <c r="AT2" s="237"/>
      <c r="AU2" s="237"/>
      <c r="AV2" s="237"/>
      <c r="AW2" s="237"/>
      <c r="AX2" s="237"/>
      <c r="AY2" s="237"/>
      <c r="AZ2" s="237"/>
      <c r="BA2" s="237"/>
      <c r="BB2" s="237"/>
      <c r="BC2" s="237"/>
      <c r="BD2" s="237"/>
      <c r="BE2" s="237"/>
      <c r="BF2" s="237"/>
      <c r="BG2" s="237"/>
      <c r="BH2" s="237"/>
      <c r="BI2" s="237"/>
      <c r="BJ2" s="237"/>
      <c r="BK2" s="237"/>
      <c r="BL2" s="237"/>
      <c r="BM2" s="237"/>
      <c r="BN2" s="237"/>
    </row>
    <row r="3" spans="1:66" s="140" customFormat="1" ht="18.95" customHeight="1">
      <c r="A3" s="274" t="s">
        <v>554</v>
      </c>
      <c r="B3" s="276" t="s">
        <v>549</v>
      </c>
      <c r="C3" s="278" t="s">
        <v>556</v>
      </c>
      <c r="D3" s="279" t="s">
        <v>550</v>
      </c>
      <c r="E3" s="281" t="s">
        <v>1468</v>
      </c>
      <c r="F3" s="282"/>
      <c r="G3" s="282"/>
      <c r="H3" s="282"/>
      <c r="I3" s="282"/>
      <c r="J3" s="282"/>
      <c r="K3" s="282"/>
      <c r="L3" s="282"/>
      <c r="M3" s="282"/>
      <c r="N3" s="282"/>
      <c r="O3" s="257" t="s">
        <v>1469</v>
      </c>
      <c r="P3" s="257" t="s">
        <v>1470</v>
      </c>
      <c r="Q3" s="257" t="s">
        <v>1471</v>
      </c>
      <c r="R3" s="264" t="s">
        <v>1368</v>
      </c>
      <c r="S3" s="259" t="s">
        <v>1472</v>
      </c>
      <c r="T3" s="266" t="s">
        <v>1473</v>
      </c>
      <c r="U3" s="259" t="s">
        <v>1474</v>
      </c>
      <c r="V3" s="259" t="s">
        <v>1475</v>
      </c>
      <c r="W3" s="261" t="s">
        <v>1476</v>
      </c>
      <c r="X3" s="261" t="s">
        <v>1477</v>
      </c>
      <c r="Y3" s="268" t="s">
        <v>1478</v>
      </c>
      <c r="Z3" s="262" t="s">
        <v>1479</v>
      </c>
      <c r="AA3" s="284" t="s">
        <v>1480</v>
      </c>
      <c r="AB3" s="257" t="s">
        <v>1481</v>
      </c>
      <c r="AC3" s="286" t="s">
        <v>1482</v>
      </c>
      <c r="AD3" s="272" t="s">
        <v>1483</v>
      </c>
      <c r="AE3" s="270" t="s">
        <v>1484</v>
      </c>
      <c r="AF3" s="251" t="s">
        <v>1592</v>
      </c>
      <c r="AG3" s="252"/>
      <c r="AH3" s="252"/>
      <c r="AI3" s="252"/>
      <c r="AJ3" s="254" t="s">
        <v>1593</v>
      </c>
      <c r="AK3" s="252"/>
      <c r="AL3" s="252"/>
      <c r="AM3" s="255"/>
    </row>
    <row r="4" spans="1:66" s="141" customFormat="1" ht="6" customHeight="1">
      <c r="A4" s="275"/>
      <c r="B4" s="277"/>
      <c r="C4" s="274"/>
      <c r="D4" s="280"/>
      <c r="E4" s="283"/>
      <c r="F4" s="282"/>
      <c r="G4" s="282"/>
      <c r="H4" s="282"/>
      <c r="I4" s="282"/>
      <c r="J4" s="282"/>
      <c r="K4" s="282"/>
      <c r="L4" s="282"/>
      <c r="M4" s="282"/>
      <c r="N4" s="282"/>
      <c r="O4" s="258"/>
      <c r="P4" s="258"/>
      <c r="Q4" s="258"/>
      <c r="R4" s="265"/>
      <c r="S4" s="260"/>
      <c r="T4" s="267"/>
      <c r="U4" s="260"/>
      <c r="V4" s="260"/>
      <c r="W4" s="258"/>
      <c r="X4" s="258"/>
      <c r="Y4" s="269"/>
      <c r="Z4" s="263"/>
      <c r="AA4" s="285"/>
      <c r="AB4" s="257"/>
      <c r="AC4" s="280"/>
      <c r="AD4" s="273"/>
      <c r="AE4" s="271"/>
      <c r="AF4" s="187">
        <v>44591</v>
      </c>
      <c r="AG4" s="188">
        <v>44598</v>
      </c>
      <c r="AH4" s="188">
        <v>44605</v>
      </c>
      <c r="AI4" s="188">
        <v>44612</v>
      </c>
      <c r="AJ4" s="188">
        <v>44619</v>
      </c>
      <c r="AK4" s="236"/>
      <c r="AL4" s="236"/>
      <c r="AM4" s="216"/>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row>
    <row r="5" spans="1:66" ht="12" customHeight="1">
      <c r="A5" s="203"/>
      <c r="B5" s="203" t="s">
        <v>1485</v>
      </c>
      <c r="C5" s="203">
        <v>1</v>
      </c>
      <c r="D5" s="214" t="s">
        <v>1023</v>
      </c>
      <c r="E5" s="204" t="s">
        <v>1612</v>
      </c>
      <c r="F5" s="204"/>
      <c r="G5" s="204"/>
      <c r="H5" s="204"/>
      <c r="I5" s="204"/>
      <c r="J5" s="204"/>
      <c r="K5" s="204"/>
      <c r="L5" s="204"/>
      <c r="M5" s="204"/>
      <c r="N5" s="204"/>
      <c r="O5" s="204"/>
      <c r="P5" s="205">
        <v>44593</v>
      </c>
      <c r="Q5" s="205">
        <v>44619</v>
      </c>
      <c r="R5" s="206"/>
      <c r="S5" s="207">
        <v>21</v>
      </c>
      <c r="T5" s="207">
        <v>10</v>
      </c>
      <c r="U5" s="207">
        <v>19</v>
      </c>
      <c r="V5" s="207">
        <v>2</v>
      </c>
      <c r="W5" s="205"/>
      <c r="X5" s="205"/>
      <c r="Y5" s="208">
        <v>0</v>
      </c>
      <c r="Z5" s="209">
        <v>0</v>
      </c>
      <c r="AA5" s="207"/>
      <c r="AB5" s="206"/>
      <c r="AC5" s="210"/>
      <c r="AD5" s="211">
        <v>0.47619047619047616</v>
      </c>
      <c r="AE5" s="218">
        <v>0.47619047619047616</v>
      </c>
      <c r="AF5" s="190"/>
      <c r="AG5" s="191"/>
      <c r="AH5" s="191" t="str">
        <f>" " &amp; TEXT(AE5,"#0.00%") &amp; " " &amp; "js" &amp; " " &amp; IF(P5="","",TEXT(P5,"M/D-")) &amp; IF(Q5="","",TEXT(Q5,"M/D")) &amp; " "</f>
        <v xml:space="preserve"> 47.62% js 2/1-2/27 </v>
      </c>
      <c r="AI5" s="191"/>
      <c r="AJ5" s="191"/>
      <c r="AK5" s="191"/>
      <c r="AL5" s="189"/>
      <c r="AM5" s="189"/>
    </row>
    <row r="6" spans="1:66" ht="12" customHeight="1" outlineLevel="1">
      <c r="A6" s="203"/>
      <c r="B6" s="203" t="s">
        <v>1485</v>
      </c>
      <c r="C6" s="203">
        <v>2</v>
      </c>
      <c r="D6" s="214" t="s">
        <v>1097</v>
      </c>
      <c r="E6" s="204"/>
      <c r="F6" s="204" t="s">
        <v>1610</v>
      </c>
      <c r="G6" s="204"/>
      <c r="H6" s="204"/>
      <c r="I6" s="204"/>
      <c r="J6" s="204"/>
      <c r="K6" s="204"/>
      <c r="L6" s="204"/>
      <c r="M6" s="204"/>
      <c r="N6" s="204"/>
      <c r="O6" s="204"/>
      <c r="P6" s="205">
        <v>44593</v>
      </c>
      <c r="Q6" s="205">
        <v>44594</v>
      </c>
      <c r="R6" s="206"/>
      <c r="S6" s="207">
        <v>10</v>
      </c>
      <c r="T6" s="207">
        <v>10</v>
      </c>
      <c r="U6" s="207">
        <v>2</v>
      </c>
      <c r="V6" s="207">
        <v>2</v>
      </c>
      <c r="W6" s="205"/>
      <c r="X6" s="205"/>
      <c r="Y6" s="208">
        <v>0</v>
      </c>
      <c r="Z6" s="209">
        <v>0</v>
      </c>
      <c r="AA6" s="207"/>
      <c r="AB6" s="206"/>
      <c r="AC6" s="210"/>
      <c r="AD6" s="211">
        <v>1</v>
      </c>
      <c r="AE6" s="218">
        <v>1</v>
      </c>
      <c r="AF6" s="190" t="str">
        <f>"    " &amp; TEXT(AE6,"#0.00%") &amp; " " &amp; "기본기능" &amp; " " &amp; IF(P6="","",TEXT(P6,"M/D-")) &amp; IF(Q6="","",TEXT(Q6,"M/D")) &amp; " "</f>
        <v xml:space="preserve">    100.00% 기본기능 2/1-2/2 </v>
      </c>
      <c r="AG6" s="191"/>
      <c r="AH6" s="191"/>
      <c r="AI6" s="191"/>
      <c r="AJ6" s="191"/>
      <c r="AK6" s="191"/>
    </row>
    <row r="7" spans="1:66" ht="12" customHeight="1" outlineLevel="2">
      <c r="A7" s="203"/>
      <c r="B7" s="203" t="s">
        <v>1485</v>
      </c>
      <c r="C7" s="203">
        <v>3</v>
      </c>
      <c r="D7" s="214" t="s">
        <v>1098</v>
      </c>
      <c r="E7" s="204"/>
      <c r="F7" s="204"/>
      <c r="G7" s="204" t="s">
        <v>1601</v>
      </c>
      <c r="H7" s="204"/>
      <c r="I7" s="204"/>
      <c r="J7" s="204"/>
      <c r="K7" s="204"/>
      <c r="L7" s="204"/>
      <c r="M7" s="204"/>
      <c r="N7" s="204"/>
      <c r="O7" s="204"/>
      <c r="P7" s="205">
        <v>44593</v>
      </c>
      <c r="Q7" s="205">
        <v>44594</v>
      </c>
      <c r="R7" s="206"/>
      <c r="S7" s="207">
        <v>4</v>
      </c>
      <c r="T7" s="207">
        <v>4</v>
      </c>
      <c r="U7" s="207">
        <v>2</v>
      </c>
      <c r="V7" s="207">
        <v>2</v>
      </c>
      <c r="W7" s="205"/>
      <c r="X7" s="205"/>
      <c r="Y7" s="208">
        <v>0</v>
      </c>
      <c r="Z7" s="209">
        <v>0</v>
      </c>
      <c r="AA7" s="207"/>
      <c r="AB7" s="206"/>
      <c r="AC7" s="210"/>
      <c r="AD7" s="211">
        <v>1</v>
      </c>
      <c r="AE7" s="218">
        <v>1</v>
      </c>
      <c r="AF7" s="190" t="str">
        <f>"    " &amp; TEXT(AE7,"#0.00%") &amp; " " &amp; "추가" &amp; " " &amp; IF(P7="","",TEXT(P7,"M/D-")) &amp; IF(Q7="","",TEXT(Q7,"M/D")) &amp; " "</f>
        <v xml:space="preserve">    100.00% 추가 2/1-2/2 </v>
      </c>
      <c r="AG7" s="191"/>
      <c r="AH7" s="191"/>
      <c r="AI7" s="191"/>
      <c r="AJ7" s="191"/>
      <c r="AK7" s="191"/>
    </row>
    <row r="8" spans="1:66" ht="12" customHeight="1" outlineLevel="3">
      <c r="A8" s="203"/>
      <c r="B8" s="203"/>
      <c r="C8" s="203">
        <v>4</v>
      </c>
      <c r="D8" s="214" t="s">
        <v>1604</v>
      </c>
      <c r="E8" s="204"/>
      <c r="F8" s="204"/>
      <c r="G8" s="204"/>
      <c r="H8" s="204" t="s">
        <v>1607</v>
      </c>
      <c r="I8" s="204"/>
      <c r="J8" s="204"/>
      <c r="K8" s="204"/>
      <c r="L8" s="204"/>
      <c r="M8" s="204"/>
      <c r="N8" s="204"/>
      <c r="O8" s="204"/>
      <c r="P8" s="205">
        <v>44593</v>
      </c>
      <c r="Q8" s="205">
        <v>44594</v>
      </c>
      <c r="R8" s="206"/>
      <c r="S8" s="207">
        <v>2</v>
      </c>
      <c r="T8" s="207">
        <v>2</v>
      </c>
      <c r="U8" s="207">
        <v>2</v>
      </c>
      <c r="V8" s="207">
        <v>2</v>
      </c>
      <c r="W8" s="205"/>
      <c r="X8" s="205"/>
      <c r="Y8" s="208"/>
      <c r="Z8" s="209">
        <v>0</v>
      </c>
      <c r="AA8" s="207"/>
      <c r="AB8" s="206"/>
      <c r="AC8" s="210"/>
      <c r="AD8" s="211">
        <v>1</v>
      </c>
      <c r="AE8" s="213">
        <v>1</v>
      </c>
      <c r="AF8" s="190" t="str">
        <f>"    " &amp; TEXT(AE8,"#0.00%") &amp; " " &amp; "element 생성" &amp; " " &amp; IF(P8="","",TEXT(P8,"M/D-")) &amp; IF(Q8="","",TEXT(Q8,"M/D")) &amp; " "</f>
        <v xml:space="preserve">    100.00% element 생성 2/1-2/2 </v>
      </c>
      <c r="AG8" s="191"/>
      <c r="AH8" s="191"/>
      <c r="AI8" s="191"/>
      <c r="AJ8" s="191"/>
      <c r="AK8" s="191"/>
    </row>
    <row r="9" spans="1:66" ht="12" customHeight="1" outlineLevel="3">
      <c r="A9" s="203"/>
      <c r="B9" s="203"/>
      <c r="C9" s="203">
        <v>4</v>
      </c>
      <c r="D9" s="214" t="s">
        <v>1605</v>
      </c>
      <c r="E9" s="204"/>
      <c r="F9" s="204"/>
      <c r="G9" s="204"/>
      <c r="H9" s="204" t="s">
        <v>1608</v>
      </c>
      <c r="I9" s="204"/>
      <c r="J9" s="204"/>
      <c r="K9" s="204"/>
      <c r="L9" s="204"/>
      <c r="M9" s="204"/>
      <c r="N9" s="204"/>
      <c r="O9" s="204"/>
      <c r="P9" s="205">
        <v>44593</v>
      </c>
      <c r="Q9" s="205">
        <v>44594</v>
      </c>
      <c r="R9" s="206"/>
      <c r="S9" s="207">
        <v>2</v>
      </c>
      <c r="T9" s="207">
        <v>2</v>
      </c>
      <c r="U9" s="207">
        <v>2</v>
      </c>
      <c r="V9" s="207">
        <v>2</v>
      </c>
      <c r="W9" s="205"/>
      <c r="X9" s="205"/>
      <c r="Y9" s="208"/>
      <c r="Z9" s="209">
        <v>0</v>
      </c>
      <c r="AA9" s="207"/>
      <c r="AB9" s="206"/>
      <c r="AC9" s="210"/>
      <c r="AD9" s="211">
        <v>1</v>
      </c>
      <c r="AE9" s="213">
        <v>1</v>
      </c>
      <c r="AF9" s="190" t="str">
        <f>"    " &amp; TEXT(AE9,"#0.00%") &amp; " " &amp; "이름, 마감 시간, 설명 저장" &amp; " " &amp; IF(P9="","",TEXT(P9,"M/D-")) &amp; IF(Q9="","",TEXT(Q9,"M/D")) &amp; " "</f>
        <v xml:space="preserve">    100.00% 이름, 마감 시간, 설명 저장 2/1-2/2 </v>
      </c>
      <c r="AG9" s="191"/>
      <c r="AH9" s="191"/>
      <c r="AI9" s="191"/>
      <c r="AJ9" s="191"/>
      <c r="AK9" s="191"/>
    </row>
    <row r="10" spans="1:66" ht="12" customHeight="1" outlineLevel="2">
      <c r="A10" s="203"/>
      <c r="B10" s="203"/>
      <c r="C10" s="203">
        <v>3</v>
      </c>
      <c r="D10" s="214" t="s">
        <v>1099</v>
      </c>
      <c r="E10" s="204"/>
      <c r="F10" s="204"/>
      <c r="G10" s="204" t="s">
        <v>672</v>
      </c>
      <c r="H10" s="204"/>
      <c r="I10" s="204"/>
      <c r="J10" s="204"/>
      <c r="K10" s="204"/>
      <c r="L10" s="204"/>
      <c r="M10" s="204"/>
      <c r="N10" s="204"/>
      <c r="O10" s="204"/>
      <c r="P10" s="205">
        <v>44593</v>
      </c>
      <c r="Q10" s="205">
        <v>44594</v>
      </c>
      <c r="R10" s="206"/>
      <c r="S10" s="207">
        <v>2</v>
      </c>
      <c r="T10" s="207">
        <v>2</v>
      </c>
      <c r="U10" s="207">
        <v>2</v>
      </c>
      <c r="V10" s="207">
        <v>2</v>
      </c>
      <c r="W10" s="205"/>
      <c r="X10" s="205"/>
      <c r="Y10" s="208"/>
      <c r="Z10" s="209">
        <v>0</v>
      </c>
      <c r="AA10" s="207"/>
      <c r="AB10" s="206"/>
      <c r="AC10" s="210"/>
      <c r="AD10" s="211">
        <v>1</v>
      </c>
      <c r="AE10" s="213">
        <v>1</v>
      </c>
      <c r="AF10" s="190" t="str">
        <f>"    " &amp; TEXT(AE10,"#0.00%") &amp; " " &amp; "완료" &amp; " " &amp; IF(P10="","",TEXT(P10,"M/D-")) &amp; IF(Q10="","",TEXT(Q10,"M/D")) &amp; " "</f>
        <v xml:space="preserve">    100.00% 완료 2/1-2/2 </v>
      </c>
      <c r="AG10" s="191"/>
      <c r="AH10" s="191"/>
      <c r="AI10" s="191"/>
      <c r="AJ10" s="191"/>
      <c r="AK10" s="191"/>
    </row>
    <row r="11" spans="1:66" ht="12" customHeight="1" outlineLevel="2">
      <c r="A11" s="203"/>
      <c r="B11" s="203"/>
      <c r="C11" s="203">
        <v>3</v>
      </c>
      <c r="D11" s="214" t="s">
        <v>1120</v>
      </c>
      <c r="E11" s="204"/>
      <c r="F11" s="204"/>
      <c r="G11" s="204" t="s">
        <v>1602</v>
      </c>
      <c r="H11" s="204"/>
      <c r="I11" s="204"/>
      <c r="J11" s="204"/>
      <c r="K11" s="204"/>
      <c r="L11" s="204"/>
      <c r="M11" s="204"/>
      <c r="N11" s="204"/>
      <c r="O11" s="204"/>
      <c r="P11" s="205">
        <v>44593</v>
      </c>
      <c r="Q11" s="205">
        <v>44594</v>
      </c>
      <c r="R11" s="206"/>
      <c r="S11" s="207">
        <v>2</v>
      </c>
      <c r="T11" s="207">
        <v>2</v>
      </c>
      <c r="U11" s="207">
        <v>2</v>
      </c>
      <c r="V11" s="207">
        <v>2</v>
      </c>
      <c r="W11" s="205"/>
      <c r="X11" s="205"/>
      <c r="Y11" s="208"/>
      <c r="Z11" s="209">
        <v>0</v>
      </c>
      <c r="AA11" s="207"/>
      <c r="AB11" s="206"/>
      <c r="AC11" s="210"/>
      <c r="AD11" s="211">
        <v>1</v>
      </c>
      <c r="AE11" s="213">
        <v>1</v>
      </c>
      <c r="AF11" s="190" t="str">
        <f>"    " &amp; TEXT(AE11,"#0.00%") &amp; " " &amp; "제거" &amp; " " &amp; IF(P11="","",TEXT(P11,"M/D-")) &amp; IF(Q11="","",TEXT(Q11,"M/D")) &amp; " "</f>
        <v xml:space="preserve">    100.00% 제거 2/1-2/2 </v>
      </c>
      <c r="AG11" s="191"/>
      <c r="AH11" s="191"/>
      <c r="AI11" s="191"/>
      <c r="AJ11" s="191"/>
      <c r="AK11" s="191"/>
    </row>
    <row r="12" spans="1:66" ht="12" customHeight="1" outlineLevel="2">
      <c r="A12" s="203"/>
      <c r="B12" s="203"/>
      <c r="C12" s="203">
        <v>3</v>
      </c>
      <c r="D12" s="214" t="s">
        <v>1121</v>
      </c>
      <c r="E12" s="204"/>
      <c r="F12" s="204"/>
      <c r="G12" s="204" t="s">
        <v>1603</v>
      </c>
      <c r="H12" s="204"/>
      <c r="I12" s="204"/>
      <c r="J12" s="204"/>
      <c r="K12" s="204"/>
      <c r="L12" s="204"/>
      <c r="M12" s="204"/>
      <c r="N12" s="204"/>
      <c r="O12" s="204"/>
      <c r="P12" s="205">
        <v>44593</v>
      </c>
      <c r="Q12" s="205">
        <v>44594</v>
      </c>
      <c r="R12" s="206"/>
      <c r="S12" s="207">
        <v>2</v>
      </c>
      <c r="T12" s="207">
        <v>2</v>
      </c>
      <c r="U12" s="207">
        <v>2</v>
      </c>
      <c r="V12" s="207">
        <v>2</v>
      </c>
      <c r="W12" s="205"/>
      <c r="X12" s="205"/>
      <c r="Y12" s="208"/>
      <c r="Z12" s="209">
        <v>0</v>
      </c>
      <c r="AA12" s="207"/>
      <c r="AB12" s="206"/>
      <c r="AC12" s="210"/>
      <c r="AD12" s="211">
        <v>1</v>
      </c>
      <c r="AE12" s="213">
        <v>1</v>
      </c>
      <c r="AF12" s="190" t="str">
        <f>"    " &amp; TEXT(AE12,"#0.00%") &amp; " " &amp; "수정" &amp; " " &amp; IF(P12="","",TEXT(P12,"M/D-")) &amp; IF(Q12="","",TEXT(Q12,"M/D")) &amp; " "</f>
        <v xml:space="preserve">    100.00% 수정 2/1-2/2 </v>
      </c>
      <c r="AG12" s="191"/>
      <c r="AH12" s="191"/>
      <c r="AI12" s="191"/>
      <c r="AJ12" s="191"/>
      <c r="AK12" s="191"/>
    </row>
    <row r="13" spans="1:66" ht="12" customHeight="1" outlineLevel="1">
      <c r="A13" s="203"/>
      <c r="B13" s="203"/>
      <c r="C13" s="203">
        <v>2</v>
      </c>
      <c r="D13" s="214" t="s">
        <v>1100</v>
      </c>
      <c r="E13" s="204"/>
      <c r="F13" s="204" t="s">
        <v>1611</v>
      </c>
      <c r="G13" s="204"/>
      <c r="H13" s="204"/>
      <c r="I13" s="204"/>
      <c r="J13" s="204"/>
      <c r="K13" s="204"/>
      <c r="L13" s="204"/>
      <c r="M13" s="204"/>
      <c r="N13" s="204"/>
      <c r="O13" s="204"/>
      <c r="P13" s="205">
        <v>44595</v>
      </c>
      <c r="Q13" s="205">
        <v>44595</v>
      </c>
      <c r="R13" s="206"/>
      <c r="S13" s="207">
        <v>1</v>
      </c>
      <c r="T13" s="207">
        <v>0</v>
      </c>
      <c r="U13" s="207">
        <v>1</v>
      </c>
      <c r="V13" s="207">
        <v>0</v>
      </c>
      <c r="W13" s="205"/>
      <c r="X13" s="205"/>
      <c r="Y13" s="208"/>
      <c r="Z13" s="209">
        <v>0</v>
      </c>
      <c r="AA13" s="207"/>
      <c r="AB13" s="206"/>
      <c r="AC13" s="210"/>
      <c r="AD13" s="211">
        <v>0</v>
      </c>
      <c r="AE13" s="213">
        <v>0</v>
      </c>
      <c r="AF13" s="190" t="str">
        <f>"    " &amp; TEXT(AE13,"#0.00%") &amp; " " &amp; "로컬에 저장" &amp; " " &amp; IF(P13="","",TEXT(P13,"M/D-")) &amp; IF(Q13="","",TEXT(Q13,"M/D")) &amp; " "</f>
        <v xml:space="preserve">    0.00% 로컬에 저장 2/3-2/3 </v>
      </c>
      <c r="AG13" s="191"/>
      <c r="AH13" s="191"/>
      <c r="AI13" s="191"/>
      <c r="AJ13" s="191"/>
      <c r="AK13" s="191"/>
    </row>
    <row r="14" spans="1:66" ht="12" customHeight="1" outlineLevel="1">
      <c r="A14" s="203"/>
      <c r="B14" s="203" t="s">
        <v>1485</v>
      </c>
      <c r="C14" s="203">
        <v>2</v>
      </c>
      <c r="D14" s="214" t="s">
        <v>1102</v>
      </c>
      <c r="E14" s="204"/>
      <c r="F14" s="204" t="s">
        <v>1596</v>
      </c>
      <c r="G14" s="204"/>
      <c r="H14" s="204"/>
      <c r="I14" s="204"/>
      <c r="J14" s="204"/>
      <c r="K14" s="204"/>
      <c r="L14" s="204"/>
      <c r="M14" s="204"/>
      <c r="N14" s="204"/>
      <c r="O14" s="204"/>
      <c r="P14" s="205">
        <v>44606</v>
      </c>
      <c r="Q14" s="205">
        <v>44619</v>
      </c>
      <c r="R14" s="206"/>
      <c r="S14" s="207">
        <v>10</v>
      </c>
      <c r="T14" s="207">
        <v>0</v>
      </c>
      <c r="U14" s="207">
        <v>10</v>
      </c>
      <c r="V14" s="207">
        <v>0</v>
      </c>
      <c r="W14" s="205"/>
      <c r="X14" s="205"/>
      <c r="Y14" s="208">
        <v>0</v>
      </c>
      <c r="Z14" s="209">
        <v>0</v>
      </c>
      <c r="AA14" s="207"/>
      <c r="AB14" s="206"/>
      <c r="AC14" s="210"/>
      <c r="AD14" s="211">
        <v>0</v>
      </c>
      <c r="AE14" s="218">
        <v>0</v>
      </c>
      <c r="AF14" s="190"/>
      <c r="AG14" s="191"/>
      <c r="AH14" s="191" t="str">
        <f>" " &amp; TEXT(AE14,"#0.00%") &amp; " " &amp; "추가 기능" &amp; " " &amp; IF(P14="","",TEXT(P14,"M/D-")) &amp; IF(Q14="","",TEXT(Q14,"M/D")) &amp; " "</f>
        <v xml:space="preserve"> 0.00% 추가 기능 2/14-2/27 </v>
      </c>
      <c r="AI14" s="191"/>
      <c r="AJ14" s="191"/>
      <c r="AK14" s="191"/>
    </row>
    <row r="15" spans="1:66" ht="12" customHeight="1" outlineLevel="2">
      <c r="A15" s="203"/>
      <c r="B15" s="203"/>
      <c r="C15" s="203">
        <v>3</v>
      </c>
      <c r="D15" s="214" t="s">
        <v>1103</v>
      </c>
      <c r="E15" s="204"/>
      <c r="F15" s="204"/>
      <c r="G15" s="204" t="s">
        <v>1600</v>
      </c>
      <c r="H15" s="204"/>
      <c r="I15" s="204"/>
      <c r="J15" s="204"/>
      <c r="K15" s="204"/>
      <c r="L15" s="204"/>
      <c r="M15" s="204"/>
      <c r="N15" s="204"/>
      <c r="O15" s="204"/>
      <c r="P15" s="205">
        <v>44606</v>
      </c>
      <c r="Q15" s="205">
        <v>44612</v>
      </c>
      <c r="R15" s="206"/>
      <c r="S15" s="207">
        <v>5</v>
      </c>
      <c r="T15" s="207">
        <v>0</v>
      </c>
      <c r="U15" s="207">
        <v>5</v>
      </c>
      <c r="V15" s="207">
        <v>0</v>
      </c>
      <c r="W15" s="205"/>
      <c r="X15" s="205"/>
      <c r="Y15" s="208"/>
      <c r="Z15" s="209">
        <v>0</v>
      </c>
      <c r="AA15" s="207"/>
      <c r="AB15" s="206"/>
      <c r="AC15" s="210"/>
      <c r="AD15" s="211">
        <v>0</v>
      </c>
      <c r="AE15" s="213">
        <v>0</v>
      </c>
      <c r="AF15" s="190"/>
      <c r="AG15" s="191"/>
      <c r="AH15" s="191" t="str">
        <f>" " &amp; TEXT(AE15,"#0.00%") &amp; " " &amp; "구글 캘린더 연동 달력 스케줄링" &amp; " " &amp; IF(P15="","",TEXT(P15,"M/D-")) &amp; IF(Q15="","",TEXT(Q15,"M/D")) &amp; " "</f>
        <v xml:space="preserve"> 0.00% 구글 캘린더 연동 달력 스케줄링 2/14-2/20 </v>
      </c>
      <c r="AI15" s="191"/>
      <c r="AJ15" s="191"/>
      <c r="AK15" s="191"/>
    </row>
    <row r="16" spans="1:66" ht="12" customHeight="1" outlineLevel="2">
      <c r="A16" s="203"/>
      <c r="B16" s="203"/>
      <c r="C16" s="203">
        <v>3</v>
      </c>
      <c r="D16" s="214" t="s">
        <v>1123</v>
      </c>
      <c r="E16" s="204"/>
      <c r="F16" s="204"/>
      <c r="G16" s="204" t="s">
        <v>1597</v>
      </c>
      <c r="H16" s="204"/>
      <c r="I16" s="204"/>
      <c r="J16" s="204"/>
      <c r="K16" s="204"/>
      <c r="L16" s="204"/>
      <c r="M16" s="204"/>
      <c r="N16" s="204"/>
      <c r="O16" s="204"/>
      <c r="P16" s="205">
        <v>44613</v>
      </c>
      <c r="Q16" s="205">
        <v>44619</v>
      </c>
      <c r="R16" s="206"/>
      <c r="S16" s="207">
        <v>5</v>
      </c>
      <c r="T16" s="207">
        <v>0</v>
      </c>
      <c r="U16" s="207">
        <v>5</v>
      </c>
      <c r="V16" s="207">
        <v>0</v>
      </c>
      <c r="W16" s="205"/>
      <c r="X16" s="205"/>
      <c r="Y16" s="208"/>
      <c r="Z16" s="209">
        <v>0</v>
      </c>
      <c r="AA16" s="207"/>
      <c r="AB16" s="206"/>
      <c r="AC16" s="210"/>
      <c r="AD16" s="211">
        <v>0</v>
      </c>
      <c r="AE16" s="213">
        <v>0</v>
      </c>
      <c r="AF16" s="190"/>
      <c r="AG16" s="191"/>
      <c r="AH16" s="191"/>
      <c r="AI16" s="191" t="str">
        <f>" " &amp; TEXT(AE16,"#0.00%") &amp; " " &amp; "간트 차트" &amp; " " &amp; IF(P16="","",TEXT(P16,"M/D-")) &amp; IF(Q16="","",TEXT(Q16,"M/D")) &amp; " "</f>
        <v xml:space="preserve"> 0.00% 간트 차트 2/21-2/27 </v>
      </c>
      <c r="AJ16" s="191"/>
      <c r="AK16" s="191"/>
    </row>
    <row r="17" spans="1:37" ht="12" customHeight="1">
      <c r="A17" s="203"/>
      <c r="B17" s="203" t="s">
        <v>1485</v>
      </c>
      <c r="C17" s="203">
        <v>1</v>
      </c>
      <c r="D17" s="214" t="s">
        <v>1087</v>
      </c>
      <c r="E17" s="204" t="s">
        <v>1594</v>
      </c>
      <c r="F17" s="204"/>
      <c r="G17" s="204"/>
      <c r="H17" s="204"/>
      <c r="I17" s="204"/>
      <c r="J17" s="204"/>
      <c r="K17" s="204"/>
      <c r="L17" s="204"/>
      <c r="M17" s="204"/>
      <c r="N17" s="204"/>
      <c r="O17" s="204"/>
      <c r="P17" s="205">
        <v>44595</v>
      </c>
      <c r="Q17" s="205">
        <v>44619</v>
      </c>
      <c r="R17" s="206"/>
      <c r="S17" s="207">
        <v>16</v>
      </c>
      <c r="T17" s="207">
        <v>0</v>
      </c>
      <c r="U17" s="207">
        <v>17</v>
      </c>
      <c r="V17" s="207">
        <v>0</v>
      </c>
      <c r="W17" s="205"/>
      <c r="X17" s="205"/>
      <c r="Y17" s="208">
        <v>0</v>
      </c>
      <c r="Z17" s="209">
        <v>0</v>
      </c>
      <c r="AA17" s="207"/>
      <c r="AB17" s="206"/>
      <c r="AC17" s="210"/>
      <c r="AD17" s="211">
        <v>0</v>
      </c>
      <c r="AE17" s="218">
        <v>0</v>
      </c>
      <c r="AF17" s="190" t="str">
        <f>"    " &amp; TEXT(AE17,"#0.00%") &amp; " "</f>
        <v xml:space="preserve">    0.00% </v>
      </c>
      <c r="AG17" s="191"/>
      <c r="AH17" s="191"/>
      <c r="AI17" s="191"/>
      <c r="AJ17" s="191" t="str">
        <f>" " &amp; "CSS" &amp; " " &amp; IF(P17="","",TEXT(P17,"M/D-")) &amp; IF(Q17="","",TEXT(Q17,"M/D")) &amp; " "</f>
        <v xml:space="preserve"> CSS 2/3-2/27 </v>
      </c>
      <c r="AK17" s="191"/>
    </row>
    <row r="18" spans="1:37" ht="12" customHeight="1" outlineLevel="1">
      <c r="A18" s="203"/>
      <c r="B18" s="203"/>
      <c r="C18" s="203">
        <v>2</v>
      </c>
      <c r="D18" s="214" t="s">
        <v>1564</v>
      </c>
      <c r="E18" s="204"/>
      <c r="F18" s="204" t="s">
        <v>1595</v>
      </c>
      <c r="G18" s="204"/>
      <c r="H18" s="204"/>
      <c r="I18" s="204"/>
      <c r="J18" s="204"/>
      <c r="K18" s="204"/>
      <c r="L18" s="204"/>
      <c r="M18" s="204"/>
      <c r="N18" s="204"/>
      <c r="O18" s="204"/>
      <c r="P18" s="205">
        <v>44595</v>
      </c>
      <c r="Q18" s="205">
        <v>44596</v>
      </c>
      <c r="R18" s="206"/>
      <c r="S18" s="207">
        <v>2</v>
      </c>
      <c r="T18" s="207">
        <v>0</v>
      </c>
      <c r="U18" s="207">
        <v>2</v>
      </c>
      <c r="V18" s="207">
        <v>0</v>
      </c>
      <c r="W18" s="205"/>
      <c r="X18" s="205"/>
      <c r="Y18" s="208"/>
      <c r="Z18" s="209">
        <v>0</v>
      </c>
      <c r="AA18" s="207"/>
      <c r="AB18" s="206"/>
      <c r="AC18" s="210"/>
      <c r="AD18" s="211">
        <v>0</v>
      </c>
      <c r="AE18" s="213">
        <v>0</v>
      </c>
      <c r="AF18" s="190" t="str">
        <f>"    " &amp; TEXT(AE18,"#0.00%") &amp; " " &amp; "레이아웃" &amp; " " &amp; IF(P18="","",TEXT(P18,"M/D-")) &amp; IF(Q18="","",TEXT(Q18,"M/D")) &amp; " "</f>
        <v xml:space="preserve">    0.00% 레이아웃 2/3-2/4 </v>
      </c>
      <c r="AG18" s="191"/>
      <c r="AH18" s="191"/>
      <c r="AI18" s="191"/>
      <c r="AJ18" s="191"/>
      <c r="AK18" s="191"/>
    </row>
    <row r="19" spans="1:37" ht="12" customHeight="1" outlineLevel="1">
      <c r="A19" s="203"/>
      <c r="B19" s="203" t="s">
        <v>1485</v>
      </c>
      <c r="C19" s="203">
        <v>2</v>
      </c>
      <c r="D19" s="214" t="s">
        <v>1565</v>
      </c>
      <c r="E19" s="204"/>
      <c r="F19" s="204" t="s">
        <v>1598</v>
      </c>
      <c r="G19" s="204"/>
      <c r="H19" s="204"/>
      <c r="I19" s="204"/>
      <c r="J19" s="204"/>
      <c r="K19" s="204"/>
      <c r="L19" s="204"/>
      <c r="M19" s="204"/>
      <c r="N19" s="204"/>
      <c r="O19" s="204"/>
      <c r="P19" s="205">
        <v>44600</v>
      </c>
      <c r="Q19" s="205">
        <v>44619</v>
      </c>
      <c r="R19" s="206"/>
      <c r="S19" s="207">
        <v>14</v>
      </c>
      <c r="T19" s="207">
        <v>0</v>
      </c>
      <c r="U19" s="207">
        <v>14</v>
      </c>
      <c r="V19" s="207">
        <v>0</v>
      </c>
      <c r="W19" s="205"/>
      <c r="X19" s="205"/>
      <c r="Y19" s="208">
        <v>0</v>
      </c>
      <c r="Z19" s="209">
        <v>0</v>
      </c>
      <c r="AA19" s="207"/>
      <c r="AB19" s="206"/>
      <c r="AC19" s="210"/>
      <c r="AD19" s="211">
        <v>0</v>
      </c>
      <c r="AE19" s="218">
        <v>0</v>
      </c>
      <c r="AF19" s="190"/>
      <c r="AG19" s="191" t="str">
        <f>"  " &amp; TEXT(AE19,"#0.00%") &amp; " "</f>
        <v xml:space="preserve">  0.00% </v>
      </c>
      <c r="AH19" s="191"/>
      <c r="AI19" s="191"/>
      <c r="AJ19" s="191" t="str">
        <f>" " &amp; "애니메이션 / 액션" &amp; " " &amp; IF(P19="","",TEXT(P19,"M/D-")) &amp; IF(Q19="","",TEXT(Q19,"M/D")) &amp; " "</f>
        <v xml:space="preserve"> 애니메이션 / 액션 2/8-2/27 </v>
      </c>
      <c r="AK19" s="191"/>
    </row>
    <row r="20" spans="1:37" ht="12" customHeight="1" outlineLevel="2">
      <c r="A20" s="203"/>
      <c r="B20" s="203"/>
      <c r="C20" s="203">
        <v>3</v>
      </c>
      <c r="D20" s="214" t="s">
        <v>1519</v>
      </c>
      <c r="E20" s="204"/>
      <c r="F20" s="204"/>
      <c r="G20" s="204" t="s">
        <v>1599</v>
      </c>
      <c r="H20" s="204"/>
      <c r="I20" s="204"/>
      <c r="J20" s="204"/>
      <c r="K20" s="204"/>
      <c r="L20" s="204"/>
      <c r="M20" s="204"/>
      <c r="N20" s="204"/>
      <c r="O20" s="204"/>
      <c r="P20" s="205">
        <v>44600</v>
      </c>
      <c r="Q20" s="205">
        <v>44619</v>
      </c>
      <c r="R20" s="206"/>
      <c r="S20" s="207">
        <v>14</v>
      </c>
      <c r="T20" s="207">
        <v>0</v>
      </c>
      <c r="U20" s="207">
        <v>14</v>
      </c>
      <c r="V20" s="207">
        <v>0</v>
      </c>
      <c r="W20" s="205"/>
      <c r="X20" s="205"/>
      <c r="Y20" s="208"/>
      <c r="Z20" s="209">
        <v>0</v>
      </c>
      <c r="AA20" s="207"/>
      <c r="AB20" s="206"/>
      <c r="AC20" s="210"/>
      <c r="AD20" s="211">
        <v>0</v>
      </c>
      <c r="AE20" s="213">
        <v>0</v>
      </c>
      <c r="AF20" s="190"/>
      <c r="AG20" s="191" t="str">
        <f>"  " &amp; TEXT(AE20,"#0.00%") &amp; " "</f>
        <v xml:space="preserve">  0.00% </v>
      </c>
      <c r="AH20" s="191"/>
      <c r="AI20" s="191"/>
      <c r="AJ20" s="191" t="str">
        <f>" " &amp; "드래그 앤 드랍" &amp; " " &amp; IF(P20="","",TEXT(P20,"M/D-")) &amp; IF(Q20="","",TEXT(Q20,"M/D")) &amp; " "</f>
        <v xml:space="preserve"> 드래그 앤 드랍 2/8-2/27 </v>
      </c>
      <c r="AK20" s="191"/>
    </row>
    <row r="21" spans="1:37" ht="12" customHeight="1">
      <c r="A21" s="203"/>
      <c r="B21" s="203"/>
      <c r="C21" s="203">
        <v>1</v>
      </c>
      <c r="D21" s="214" t="s">
        <v>1104</v>
      </c>
      <c r="E21" s="204" t="s">
        <v>1609</v>
      </c>
      <c r="F21" s="204"/>
      <c r="G21" s="204"/>
      <c r="H21" s="204"/>
      <c r="I21" s="204"/>
      <c r="J21" s="204"/>
      <c r="K21" s="204"/>
      <c r="L21" s="204"/>
      <c r="M21" s="204"/>
      <c r="N21" s="204"/>
      <c r="O21" s="204"/>
      <c r="P21" s="205"/>
      <c r="Q21" s="205"/>
      <c r="R21" s="206"/>
      <c r="S21" s="207">
        <v>0</v>
      </c>
      <c r="T21" s="207">
        <v>0</v>
      </c>
      <c r="U21" s="207"/>
      <c r="V21" s="207"/>
      <c r="W21" s="205"/>
      <c r="X21" s="205"/>
      <c r="Y21" s="208">
        <v>0</v>
      </c>
      <c r="Z21" s="209"/>
      <c r="AA21" s="207"/>
      <c r="AB21" s="206"/>
      <c r="AC21" s="210"/>
      <c r="AD21" s="211">
        <v>0</v>
      </c>
      <c r="AE21" s="295">
        <v>0</v>
      </c>
      <c r="AF21" s="190"/>
      <c r="AG21" s="191"/>
      <c r="AH21" s="191"/>
      <c r="AI21" s="191"/>
      <c r="AJ21" s="191"/>
      <c r="AK21" s="191"/>
    </row>
    <row r="22" spans="1:37" ht="12" customHeight="1">
      <c r="A22" s="192"/>
      <c r="B22" s="192"/>
      <c r="C22" s="192"/>
      <c r="D22" s="193"/>
      <c r="E22" s="194"/>
      <c r="F22" s="194"/>
      <c r="G22" s="194"/>
      <c r="H22" s="194"/>
      <c r="I22" s="194"/>
      <c r="J22" s="194"/>
      <c r="K22" s="194"/>
      <c r="L22" s="194"/>
      <c r="M22" s="194"/>
      <c r="N22" s="194"/>
      <c r="O22" s="194"/>
      <c r="P22" s="195"/>
      <c r="Q22" s="195"/>
      <c r="R22" s="196"/>
      <c r="S22" s="197"/>
      <c r="T22" s="197"/>
      <c r="U22" s="197"/>
      <c r="V22" s="197"/>
      <c r="W22" s="195"/>
      <c r="X22" s="195"/>
      <c r="Y22" s="198"/>
      <c r="Z22" s="199"/>
      <c r="AA22" s="197"/>
      <c r="AB22" s="196"/>
      <c r="AC22" s="200"/>
      <c r="AD22" s="201"/>
      <c r="AE22" s="202"/>
      <c r="AF22" s="189"/>
      <c r="AG22" s="189"/>
      <c r="AH22" s="189"/>
      <c r="AI22" s="189"/>
      <c r="AJ22" s="189"/>
      <c r="AK22" s="189"/>
    </row>
  </sheetData>
  <sheetProtection formatCells="0" formatColumns="0" formatRows="0" insertColumns="0" insertRows="0" insertHyperlinks="0" deleteColumns="0" deleteRows="0" sort="0" autoFilter="0" pivotTables="0"/>
  <dataConsolidate/>
  <mergeCells count="27">
    <mergeCell ref="Y3:Y4"/>
    <mergeCell ref="AE3:AE4"/>
    <mergeCell ref="AD3:AD4"/>
    <mergeCell ref="AB3:AB4"/>
    <mergeCell ref="A3:A4"/>
    <mergeCell ref="B3:B4"/>
    <mergeCell ref="C3:C4"/>
    <mergeCell ref="D3:D4"/>
    <mergeCell ref="E3:N4"/>
    <mergeCell ref="AA3:AA4"/>
    <mergeCell ref="AC3:AC4"/>
    <mergeCell ref="AF3:AI3"/>
    <mergeCell ref="AF2:AI2"/>
    <mergeCell ref="AJ3:AM3"/>
    <mergeCell ref="AJ2:AM2"/>
    <mergeCell ref="D2:F2"/>
    <mergeCell ref="O3:O4"/>
    <mergeCell ref="V3:V4"/>
    <mergeCell ref="X3:X4"/>
    <mergeCell ref="Z3:Z4"/>
    <mergeCell ref="P3:P4"/>
    <mergeCell ref="Q3:Q4"/>
    <mergeCell ref="S3:S4"/>
    <mergeCell ref="R3:R4"/>
    <mergeCell ref="T3:T4"/>
    <mergeCell ref="W3:W4"/>
    <mergeCell ref="U3:U4"/>
  </mergeCells>
  <phoneticPr fontId="4" type="noConversion"/>
  <conditionalFormatting sqref="D5:AD21">
    <cfRule type="expression" dxfId="1" priority="2">
      <formula>($B5="G")</formula>
    </cfRule>
    <cfRule type="expression" dxfId="0" priority="1">
      <formula>($AE5=1)</formula>
    </cfRule>
  </conditionalFormatting>
  <hyperlinks>
    <hyperlink ref="AF1:BJ1" r:id="rId1" display="https://xlworks.net/xlgantt-project-scheduler/" xr:uid="{2B5D8FD0-27FF-4C7C-90D1-0C9DAF0F6B4D}"/>
  </hyperlinks>
  <pageMargins left="0.19685039370078741" right="0.23622047244094491" top="0.43307086614173229" bottom="0.23622047244094491" header="0.23622047244094491" footer="0.19685039370078741"/>
  <pageSetup paperSize="9" scale="9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1451</v>
      </c>
      <c r="B1" s="2"/>
      <c r="C1" s="2"/>
      <c r="D1" s="2"/>
      <c r="E1" s="2"/>
      <c r="F1" s="2"/>
      <c r="G1" s="2"/>
      <c r="H1" s="2"/>
      <c r="I1" s="2"/>
      <c r="J1" s="2"/>
      <c r="K1" s="2"/>
      <c r="L1" s="289"/>
      <c r="M1" s="290"/>
      <c r="N1" s="290"/>
      <c r="O1" s="3"/>
      <c r="P1" s="3"/>
      <c r="Q1" s="3"/>
    </row>
    <row r="2" spans="1:17" s="7" customFormat="1" ht="12.75">
      <c r="A2" s="5" t="s">
        <v>1454</v>
      </c>
      <c r="B2" s="6"/>
    </row>
    <row r="3" spans="1:17" s="7" customFormat="1" ht="12.75">
      <c r="A3" s="5" t="s">
        <v>1455</v>
      </c>
      <c r="B3" s="6"/>
    </row>
    <row r="4" spans="1:17" s="7" customFormat="1" ht="12.75">
      <c r="A4" s="291"/>
      <c r="B4" s="291"/>
      <c r="C4" s="8"/>
      <c r="D4" s="9"/>
      <c r="E4" s="9"/>
      <c r="F4" s="9"/>
    </row>
    <row r="5" spans="1:17" s="15" customFormat="1" ht="12.75">
      <c r="A5" s="10"/>
      <c r="B5" s="11"/>
      <c r="C5" s="12"/>
      <c r="D5" s="13"/>
      <c r="E5" s="14"/>
      <c r="F5" s="14"/>
      <c r="G5" s="14"/>
    </row>
    <row r="6" spans="1:17" s="15" customFormat="1" ht="12.75">
      <c r="A6" s="16" t="s">
        <v>1456</v>
      </c>
      <c r="B6" s="17">
        <v>37</v>
      </c>
      <c r="C6" s="15" t="s">
        <v>0</v>
      </c>
      <c r="D6" s="288" t="s">
        <v>1457</v>
      </c>
      <c r="E6" s="288"/>
      <c r="F6" s="288"/>
      <c r="G6" s="288"/>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10</v>
      </c>
      <c r="C9" s="15" t="s">
        <v>0</v>
      </c>
      <c r="D9" s="287" t="s">
        <v>1459</v>
      </c>
      <c r="E9" s="287"/>
      <c r="F9" s="287"/>
      <c r="G9" s="287"/>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10</v>
      </c>
      <c r="C12" s="15" t="s">
        <v>0</v>
      </c>
      <c r="D12" s="292" t="s">
        <v>1453</v>
      </c>
      <c r="E12" s="287"/>
      <c r="F12" s="287"/>
      <c r="G12" s="287"/>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c r="C15" s="15" t="s">
        <v>0</v>
      </c>
      <c r="D15" s="287" t="s">
        <v>1461</v>
      </c>
      <c r="E15" s="287"/>
      <c r="F15" s="287"/>
      <c r="G15" s="287"/>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0.27027027027027029</v>
      </c>
      <c r="D18" s="287" t="s">
        <v>1463</v>
      </c>
      <c r="E18" s="287"/>
      <c r="F18" s="287"/>
      <c r="G18" s="287"/>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0.27027027027027029</v>
      </c>
      <c r="D21" s="287" t="s">
        <v>1465</v>
      </c>
      <c r="E21" s="287"/>
      <c r="F21" s="287"/>
      <c r="G21" s="287"/>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0</v>
      </c>
      <c r="D24" s="288" t="s">
        <v>1467</v>
      </c>
      <c r="E24" s="288"/>
      <c r="F24" s="288"/>
      <c r="G24" s="288"/>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9"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1578</v>
      </c>
    </row>
    <row r="2" spans="1:12">
      <c r="A2" s="136" t="s">
        <v>605</v>
      </c>
    </row>
    <row r="3" spans="1:12">
      <c r="A3" s="136" t="s">
        <v>608</v>
      </c>
    </row>
    <row r="6" spans="1:12" ht="45">
      <c r="A6" s="63" t="s">
        <v>1283</v>
      </c>
      <c r="B6" s="91" t="s">
        <v>341</v>
      </c>
      <c r="C6" s="91" t="s">
        <v>1284</v>
      </c>
      <c r="D6" s="91" t="s">
        <v>557</v>
      </c>
      <c r="E6" s="91" t="s">
        <v>558</v>
      </c>
      <c r="F6" s="220" t="s">
        <v>1579</v>
      </c>
      <c r="G6" s="221" t="s">
        <v>1580</v>
      </c>
      <c r="H6" s="221" t="s">
        <v>1581</v>
      </c>
      <c r="I6" s="221" t="s">
        <v>1582</v>
      </c>
      <c r="J6" s="221" t="s">
        <v>771</v>
      </c>
      <c r="K6" s="221" t="s">
        <v>601</v>
      </c>
      <c r="L6" s="222" t="s">
        <v>915</v>
      </c>
    </row>
    <row r="7" spans="1:12" outlineLevel="2">
      <c r="A7" s="223" t="s">
        <v>1486</v>
      </c>
      <c r="B7" s="224" t="s">
        <v>1504</v>
      </c>
      <c r="C7" s="223" t="s">
        <v>1505</v>
      </c>
      <c r="D7" s="225">
        <v>44358</v>
      </c>
      <c r="E7" s="225">
        <v>44358</v>
      </c>
      <c r="F7" s="219">
        <v>1</v>
      </c>
      <c r="G7" s="92">
        <v>1</v>
      </c>
      <c r="H7" s="92">
        <v>0</v>
      </c>
      <c r="I7" s="92">
        <v>0</v>
      </c>
      <c r="J7" s="219">
        <v>0</v>
      </c>
      <c r="K7" s="219">
        <v>0</v>
      </c>
      <c r="L7" s="219">
        <f t="shared" ref="L7:L51" si="0">K7-J7</f>
        <v>0</v>
      </c>
    </row>
    <row r="8" spans="1:12" outlineLevel="2">
      <c r="A8" s="223" t="s">
        <v>1486</v>
      </c>
      <c r="B8" s="224" t="s">
        <v>1510</v>
      </c>
      <c r="C8" s="223" t="s">
        <v>1511</v>
      </c>
      <c r="D8" s="225">
        <v>44487</v>
      </c>
      <c r="E8" s="225">
        <v>44487</v>
      </c>
      <c r="F8" s="219">
        <v>0</v>
      </c>
      <c r="G8" s="92">
        <v>0</v>
      </c>
      <c r="H8" s="92">
        <v>0</v>
      </c>
      <c r="I8" s="92">
        <v>0</v>
      </c>
      <c r="J8" s="219">
        <v>0</v>
      </c>
      <c r="K8" s="219">
        <v>0</v>
      </c>
      <c r="L8" s="219">
        <f t="shared" si="0"/>
        <v>0</v>
      </c>
    </row>
    <row r="9" spans="1:12" outlineLevel="2">
      <c r="A9" s="223" t="s">
        <v>1486</v>
      </c>
      <c r="B9" s="224" t="s">
        <v>1512</v>
      </c>
      <c r="C9" s="223" t="s">
        <v>1513</v>
      </c>
      <c r="D9" s="225">
        <v>44340</v>
      </c>
      <c r="E9" s="225">
        <v>44358</v>
      </c>
      <c r="F9" s="219">
        <v>1</v>
      </c>
      <c r="G9" s="92">
        <v>15</v>
      </c>
      <c r="H9" s="92">
        <v>7</v>
      </c>
      <c r="I9" s="92">
        <v>15</v>
      </c>
      <c r="J9" s="219">
        <v>0.46666666666666667</v>
      </c>
      <c r="K9" s="219">
        <v>1</v>
      </c>
      <c r="L9" s="219">
        <f t="shared" si="0"/>
        <v>0.53333333333333333</v>
      </c>
    </row>
    <row r="10" spans="1:12" outlineLevel="2">
      <c r="A10" s="223" t="s">
        <v>1486</v>
      </c>
      <c r="B10" s="224" t="s">
        <v>1515</v>
      </c>
      <c r="C10" s="223" t="s">
        <v>1516</v>
      </c>
      <c r="D10" s="225">
        <v>44346</v>
      </c>
      <c r="E10" s="225">
        <v>44357</v>
      </c>
      <c r="F10" s="219">
        <v>1</v>
      </c>
      <c r="G10" s="92">
        <v>9</v>
      </c>
      <c r="H10" s="92">
        <v>2</v>
      </c>
      <c r="I10" s="92">
        <v>1.8</v>
      </c>
      <c r="J10" s="219">
        <v>0.22222222222222221</v>
      </c>
      <c r="K10" s="219">
        <v>0.2</v>
      </c>
      <c r="L10" s="234">
        <f t="shared" si="0"/>
        <v>-2.2222222222222199E-2</v>
      </c>
    </row>
    <row r="11" spans="1:12" outlineLevel="2">
      <c r="A11" s="223" t="s">
        <v>1486</v>
      </c>
      <c r="B11" s="224" t="s">
        <v>1519</v>
      </c>
      <c r="C11" s="223" t="s">
        <v>1520</v>
      </c>
      <c r="D11" s="225">
        <v>44360</v>
      </c>
      <c r="E11" s="225">
        <v>44378</v>
      </c>
      <c r="F11" s="219">
        <v>1</v>
      </c>
      <c r="G11" s="92">
        <v>14</v>
      </c>
      <c r="H11" s="92">
        <v>0</v>
      </c>
      <c r="I11" s="92">
        <v>0</v>
      </c>
      <c r="J11" s="219">
        <v>0</v>
      </c>
      <c r="K11" s="219">
        <v>0</v>
      </c>
      <c r="L11" s="219">
        <f t="shared" si="0"/>
        <v>0</v>
      </c>
    </row>
    <row r="12" spans="1:12" outlineLevel="2">
      <c r="A12" s="223" t="s">
        <v>1486</v>
      </c>
      <c r="B12" s="224" t="s">
        <v>1522</v>
      </c>
      <c r="C12" s="223" t="s">
        <v>1523</v>
      </c>
      <c r="D12" s="225">
        <v>44367</v>
      </c>
      <c r="E12" s="225">
        <v>44378</v>
      </c>
      <c r="F12" s="219">
        <v>1</v>
      </c>
      <c r="G12" s="92">
        <v>9</v>
      </c>
      <c r="H12" s="92">
        <v>0</v>
      </c>
      <c r="I12" s="92">
        <v>0</v>
      </c>
      <c r="J12" s="219">
        <v>0</v>
      </c>
      <c r="K12" s="219">
        <v>0</v>
      </c>
      <c r="L12" s="219">
        <f t="shared" si="0"/>
        <v>0</v>
      </c>
    </row>
    <row r="13" spans="1:12" outlineLevel="2">
      <c r="A13" s="223" t="s">
        <v>1486</v>
      </c>
      <c r="B13" s="224" t="s">
        <v>1524</v>
      </c>
      <c r="C13" s="223" t="s">
        <v>1525</v>
      </c>
      <c r="D13" s="225">
        <v>44374</v>
      </c>
      <c r="E13" s="225">
        <v>44385</v>
      </c>
      <c r="F13" s="219">
        <v>1</v>
      </c>
      <c r="G13" s="92">
        <v>9</v>
      </c>
      <c r="H13" s="92">
        <v>0</v>
      </c>
      <c r="I13" s="92">
        <v>0</v>
      </c>
      <c r="J13" s="219">
        <v>0</v>
      </c>
      <c r="K13" s="219">
        <v>0</v>
      </c>
      <c r="L13" s="219">
        <f t="shared" si="0"/>
        <v>0</v>
      </c>
    </row>
    <row r="14" spans="1:12" outlineLevel="2">
      <c r="A14" s="223" t="s">
        <v>1486</v>
      </c>
      <c r="B14" s="224" t="s">
        <v>1526</v>
      </c>
      <c r="C14" s="223" t="s">
        <v>1527</v>
      </c>
      <c r="D14" s="225">
        <v>44374</v>
      </c>
      <c r="E14" s="225">
        <v>44392</v>
      </c>
      <c r="F14" s="219">
        <v>1</v>
      </c>
      <c r="G14" s="92">
        <v>14</v>
      </c>
      <c r="H14" s="92">
        <v>0</v>
      </c>
      <c r="I14" s="92">
        <v>0</v>
      </c>
      <c r="J14" s="219">
        <v>0</v>
      </c>
      <c r="K14" s="219">
        <v>0</v>
      </c>
      <c r="L14" s="219">
        <f t="shared" si="0"/>
        <v>0</v>
      </c>
    </row>
    <row r="15" spans="1:12" outlineLevel="2">
      <c r="A15" s="223" t="s">
        <v>1486</v>
      </c>
      <c r="B15" s="224" t="s">
        <v>1528</v>
      </c>
      <c r="C15" s="223" t="s">
        <v>1529</v>
      </c>
      <c r="D15" s="225">
        <v>44395</v>
      </c>
      <c r="E15" s="225">
        <v>44399</v>
      </c>
      <c r="F15" s="219">
        <v>1</v>
      </c>
      <c r="G15" s="92">
        <v>4</v>
      </c>
      <c r="H15" s="92">
        <v>0</v>
      </c>
      <c r="I15" s="92">
        <v>0</v>
      </c>
      <c r="J15" s="219">
        <v>0</v>
      </c>
      <c r="K15" s="219">
        <v>0</v>
      </c>
      <c r="L15" s="219">
        <f t="shared" si="0"/>
        <v>0</v>
      </c>
    </row>
    <row r="16" spans="1:12" outlineLevel="2">
      <c r="A16" s="223" t="s">
        <v>1486</v>
      </c>
      <c r="B16" s="224" t="s">
        <v>1531</v>
      </c>
      <c r="C16" s="223" t="s">
        <v>1532</v>
      </c>
      <c r="D16" s="225">
        <v>44395</v>
      </c>
      <c r="E16" s="225">
        <v>44399</v>
      </c>
      <c r="F16" s="219">
        <v>1</v>
      </c>
      <c r="G16" s="92">
        <v>4</v>
      </c>
      <c r="H16" s="92">
        <v>0</v>
      </c>
      <c r="I16" s="92">
        <v>0</v>
      </c>
      <c r="J16" s="219">
        <v>0</v>
      </c>
      <c r="K16" s="219">
        <v>0</v>
      </c>
      <c r="L16" s="219">
        <f t="shared" si="0"/>
        <v>0</v>
      </c>
    </row>
    <row r="17" spans="1:12" outlineLevel="2">
      <c r="A17" s="223" t="s">
        <v>1486</v>
      </c>
      <c r="B17" s="224" t="s">
        <v>1535</v>
      </c>
      <c r="C17" s="223" t="s">
        <v>1536</v>
      </c>
      <c r="D17" s="225">
        <v>44395</v>
      </c>
      <c r="E17" s="225">
        <v>44399</v>
      </c>
      <c r="F17" s="219">
        <v>1</v>
      </c>
      <c r="G17" s="92">
        <v>4</v>
      </c>
      <c r="H17" s="92">
        <v>0</v>
      </c>
      <c r="I17" s="92">
        <v>0</v>
      </c>
      <c r="J17" s="219">
        <v>0</v>
      </c>
      <c r="K17" s="219">
        <v>0</v>
      </c>
      <c r="L17" s="219">
        <f t="shared" si="0"/>
        <v>0</v>
      </c>
    </row>
    <row r="18" spans="1:12" outlineLevel="2">
      <c r="A18" s="223" t="s">
        <v>1486</v>
      </c>
      <c r="B18" s="224" t="s">
        <v>1537</v>
      </c>
      <c r="C18" s="223" t="s">
        <v>1538</v>
      </c>
      <c r="D18" s="225">
        <v>44402</v>
      </c>
      <c r="E18" s="225">
        <v>44406</v>
      </c>
      <c r="F18" s="219">
        <v>1</v>
      </c>
      <c r="G18" s="92">
        <v>4</v>
      </c>
      <c r="H18" s="92">
        <v>0</v>
      </c>
      <c r="I18" s="92">
        <v>0</v>
      </c>
      <c r="J18" s="219">
        <v>0</v>
      </c>
      <c r="K18" s="219">
        <v>0</v>
      </c>
      <c r="L18" s="219">
        <f t="shared" si="0"/>
        <v>0</v>
      </c>
    </row>
    <row r="19" spans="1:12" outlineLevel="2">
      <c r="A19" s="223" t="s">
        <v>1486</v>
      </c>
      <c r="B19" s="224" t="s">
        <v>1539</v>
      </c>
      <c r="C19" s="223" t="s">
        <v>1540</v>
      </c>
      <c r="D19" s="225">
        <v>44402</v>
      </c>
      <c r="E19" s="225">
        <v>44413</v>
      </c>
      <c r="F19" s="219">
        <v>1</v>
      </c>
      <c r="G19" s="92">
        <v>9</v>
      </c>
      <c r="H19" s="92">
        <v>0</v>
      </c>
      <c r="I19" s="92">
        <v>0</v>
      </c>
      <c r="J19" s="219">
        <v>0</v>
      </c>
      <c r="K19" s="219">
        <v>0</v>
      </c>
      <c r="L19" s="219">
        <f t="shared" si="0"/>
        <v>0</v>
      </c>
    </row>
    <row r="20" spans="1:12" outlineLevel="2">
      <c r="A20" s="223" t="s">
        <v>1486</v>
      </c>
      <c r="B20" s="224" t="s">
        <v>1541</v>
      </c>
      <c r="C20" s="223" t="s">
        <v>1542</v>
      </c>
      <c r="D20" s="225">
        <v>44395</v>
      </c>
      <c r="E20" s="225">
        <v>44454</v>
      </c>
      <c r="F20" s="219">
        <v>1</v>
      </c>
      <c r="G20" s="92">
        <v>43</v>
      </c>
      <c r="H20" s="92">
        <v>0</v>
      </c>
      <c r="I20" s="92">
        <v>0</v>
      </c>
      <c r="J20" s="219">
        <v>0</v>
      </c>
      <c r="K20" s="219">
        <v>0</v>
      </c>
      <c r="L20" s="219">
        <f t="shared" si="0"/>
        <v>0</v>
      </c>
    </row>
    <row r="21" spans="1:12" outlineLevel="2">
      <c r="A21" s="223" t="s">
        <v>1486</v>
      </c>
      <c r="B21" s="224" t="s">
        <v>1543</v>
      </c>
      <c r="C21" s="223" t="s">
        <v>1544</v>
      </c>
      <c r="D21" s="225">
        <v>44395</v>
      </c>
      <c r="E21" s="225">
        <v>44454</v>
      </c>
      <c r="F21" s="219">
        <v>1</v>
      </c>
      <c r="G21" s="92">
        <v>43</v>
      </c>
      <c r="H21" s="92">
        <v>0</v>
      </c>
      <c r="I21" s="92">
        <v>0</v>
      </c>
      <c r="J21" s="219">
        <v>0</v>
      </c>
      <c r="K21" s="219">
        <v>0</v>
      </c>
      <c r="L21" s="219">
        <f t="shared" si="0"/>
        <v>0</v>
      </c>
    </row>
    <row r="22" spans="1:12" outlineLevel="2">
      <c r="A22" s="223" t="s">
        <v>1486</v>
      </c>
      <c r="B22" s="224" t="s">
        <v>1545</v>
      </c>
      <c r="C22" s="223" t="s">
        <v>1546</v>
      </c>
      <c r="D22" s="225">
        <v>44409</v>
      </c>
      <c r="E22" s="225">
        <v>44454</v>
      </c>
      <c r="F22" s="219">
        <v>1</v>
      </c>
      <c r="G22" s="92">
        <v>33</v>
      </c>
      <c r="H22" s="92">
        <v>0</v>
      </c>
      <c r="I22" s="92">
        <v>0</v>
      </c>
      <c r="J22" s="219">
        <v>0</v>
      </c>
      <c r="K22" s="219">
        <v>0</v>
      </c>
      <c r="L22" s="219">
        <f t="shared" si="0"/>
        <v>0</v>
      </c>
    </row>
    <row r="23" spans="1:12" outlineLevel="2">
      <c r="A23" s="223" t="s">
        <v>1486</v>
      </c>
      <c r="B23" s="224" t="s">
        <v>1548</v>
      </c>
      <c r="C23" s="223" t="s">
        <v>1549</v>
      </c>
      <c r="D23" s="225">
        <v>44437</v>
      </c>
      <c r="E23" s="225">
        <v>44455</v>
      </c>
      <c r="F23" s="219">
        <v>1</v>
      </c>
      <c r="G23" s="92">
        <v>14</v>
      </c>
      <c r="H23" s="92">
        <v>0</v>
      </c>
      <c r="I23" s="92">
        <v>0</v>
      </c>
      <c r="J23" s="219">
        <v>0</v>
      </c>
      <c r="K23" s="219">
        <v>0</v>
      </c>
      <c r="L23" s="219">
        <f t="shared" si="0"/>
        <v>0</v>
      </c>
    </row>
    <row r="24" spans="1:12" outlineLevel="2">
      <c r="A24" s="223" t="s">
        <v>1486</v>
      </c>
      <c r="B24" s="224" t="s">
        <v>1550</v>
      </c>
      <c r="C24" s="223" t="s">
        <v>1551</v>
      </c>
      <c r="D24" s="225">
        <v>44458</v>
      </c>
      <c r="E24" s="225">
        <v>44462</v>
      </c>
      <c r="F24" s="219">
        <v>1</v>
      </c>
      <c r="G24" s="92">
        <v>1</v>
      </c>
      <c r="H24" s="92">
        <v>0</v>
      </c>
      <c r="I24" s="92">
        <v>0</v>
      </c>
      <c r="J24" s="219">
        <v>0</v>
      </c>
      <c r="K24" s="219">
        <v>0</v>
      </c>
      <c r="L24" s="219">
        <f t="shared" si="0"/>
        <v>0</v>
      </c>
    </row>
    <row r="25" spans="1:12" outlineLevel="2">
      <c r="A25" s="223" t="s">
        <v>1486</v>
      </c>
      <c r="B25" s="224" t="s">
        <v>1553</v>
      </c>
      <c r="C25" s="223" t="s">
        <v>1554</v>
      </c>
      <c r="D25" s="225">
        <v>44458</v>
      </c>
      <c r="E25" s="225">
        <v>44460</v>
      </c>
      <c r="F25" s="219">
        <v>1</v>
      </c>
      <c r="G25" s="92">
        <v>0</v>
      </c>
      <c r="H25" s="92">
        <v>0</v>
      </c>
      <c r="I25" s="92">
        <v>0</v>
      </c>
      <c r="J25" s="219">
        <v>0</v>
      </c>
      <c r="K25" s="219">
        <v>0</v>
      </c>
      <c r="L25" s="219">
        <f t="shared" si="0"/>
        <v>0</v>
      </c>
    </row>
    <row r="26" spans="1:12" outlineLevel="2">
      <c r="A26" s="223" t="s">
        <v>1486</v>
      </c>
      <c r="B26" s="224" t="s">
        <v>1556</v>
      </c>
      <c r="C26" s="223" t="s">
        <v>1557</v>
      </c>
      <c r="D26" s="225">
        <v>44462</v>
      </c>
      <c r="E26" s="225">
        <v>44464</v>
      </c>
      <c r="F26" s="219">
        <v>1</v>
      </c>
      <c r="G26" s="92">
        <v>2</v>
      </c>
      <c r="H26" s="92">
        <v>0</v>
      </c>
      <c r="I26" s="92">
        <v>0</v>
      </c>
      <c r="J26" s="219">
        <v>0</v>
      </c>
      <c r="K26" s="219">
        <v>0</v>
      </c>
      <c r="L26" s="219">
        <f t="shared" si="0"/>
        <v>0</v>
      </c>
    </row>
    <row r="27" spans="1:12" outlineLevel="2">
      <c r="A27" s="223" t="s">
        <v>1486</v>
      </c>
      <c r="B27" s="224" t="s">
        <v>1558</v>
      </c>
      <c r="C27" s="223" t="s">
        <v>1559</v>
      </c>
      <c r="D27" s="225">
        <v>44462</v>
      </c>
      <c r="E27" s="225">
        <v>44464</v>
      </c>
      <c r="F27" s="219">
        <v>1</v>
      </c>
      <c r="G27" s="92">
        <v>2</v>
      </c>
      <c r="H27" s="92">
        <v>0</v>
      </c>
      <c r="I27" s="92">
        <v>0</v>
      </c>
      <c r="J27" s="219">
        <v>0</v>
      </c>
      <c r="K27" s="219">
        <v>0</v>
      </c>
      <c r="L27" s="219">
        <f t="shared" si="0"/>
        <v>0</v>
      </c>
    </row>
    <row r="28" spans="1:12" outlineLevel="2">
      <c r="A28" s="223" t="s">
        <v>1486</v>
      </c>
      <c r="B28" s="224" t="s">
        <v>1560</v>
      </c>
      <c r="C28" s="223" t="s">
        <v>1561</v>
      </c>
      <c r="D28" s="225">
        <v>44462</v>
      </c>
      <c r="E28" s="225">
        <v>44464</v>
      </c>
      <c r="F28" s="219">
        <v>1</v>
      </c>
      <c r="G28" s="92">
        <v>2</v>
      </c>
      <c r="H28" s="92">
        <v>0</v>
      </c>
      <c r="I28" s="92">
        <v>0</v>
      </c>
      <c r="J28" s="219">
        <v>0</v>
      </c>
      <c r="K28" s="219">
        <v>0</v>
      </c>
      <c r="L28" s="219">
        <f t="shared" si="0"/>
        <v>0</v>
      </c>
    </row>
    <row r="29" spans="1:12" outlineLevel="2">
      <c r="A29" s="223" t="s">
        <v>1486</v>
      </c>
      <c r="B29" s="224" t="s">
        <v>1562</v>
      </c>
      <c r="C29" s="223" t="s">
        <v>1563</v>
      </c>
      <c r="D29" s="225">
        <v>44465</v>
      </c>
      <c r="E29" s="225">
        <v>44465</v>
      </c>
      <c r="F29" s="219">
        <v>0</v>
      </c>
      <c r="G29" s="92">
        <v>0</v>
      </c>
      <c r="H29" s="92">
        <v>0</v>
      </c>
      <c r="I29" s="92">
        <v>0</v>
      </c>
      <c r="J29" s="219">
        <v>0</v>
      </c>
      <c r="K29" s="219">
        <v>0</v>
      </c>
      <c r="L29" s="219">
        <f t="shared" si="0"/>
        <v>0</v>
      </c>
    </row>
    <row r="30" spans="1:12" outlineLevel="1">
      <c r="A30" s="226" t="s">
        <v>1583</v>
      </c>
      <c r="B30" s="227"/>
      <c r="C30" s="228"/>
      <c r="D30" s="229"/>
      <c r="E30" s="229"/>
      <c r="F30" s="230"/>
      <c r="G30" s="231">
        <f>SUBTOTAL(9,G7:G29)</f>
        <v>236</v>
      </c>
      <c r="H30" s="231">
        <f>SUBTOTAL(9,H7:H29)</f>
        <v>9</v>
      </c>
      <c r="I30" s="231">
        <f>SUBTOTAL(9,I7:I29)</f>
        <v>16.8</v>
      </c>
      <c r="J30" s="230">
        <f>H30/G30</f>
        <v>3.8135593220338986E-2</v>
      </c>
      <c r="K30" s="230">
        <f>I30/G30</f>
        <v>7.1186440677966104E-2</v>
      </c>
      <c r="L30" s="230">
        <f t="shared" si="0"/>
        <v>3.3050847457627118E-2</v>
      </c>
    </row>
    <row r="31" spans="1:12" outlineLevel="2">
      <c r="A31" s="223" t="s">
        <v>1336</v>
      </c>
      <c r="B31" s="224" t="s">
        <v>1098</v>
      </c>
      <c r="C31" s="223" t="s">
        <v>1495</v>
      </c>
      <c r="D31" s="225">
        <v>44336</v>
      </c>
      <c r="E31" s="225">
        <v>44337</v>
      </c>
      <c r="F31" s="219">
        <v>1</v>
      </c>
      <c r="G31" s="92">
        <v>2</v>
      </c>
      <c r="H31" s="92">
        <v>2</v>
      </c>
      <c r="I31" s="92">
        <v>2</v>
      </c>
      <c r="J31" s="219">
        <v>1</v>
      </c>
      <c r="K31" s="219">
        <v>1</v>
      </c>
      <c r="L31" s="219">
        <f t="shared" si="0"/>
        <v>0</v>
      </c>
    </row>
    <row r="32" spans="1:12" outlineLevel="2">
      <c r="A32" s="223" t="s">
        <v>1336</v>
      </c>
      <c r="B32" s="224" t="s">
        <v>1103</v>
      </c>
      <c r="C32" s="223" t="s">
        <v>1506</v>
      </c>
      <c r="D32" s="225">
        <v>44462</v>
      </c>
      <c r="E32" s="225">
        <v>44466</v>
      </c>
      <c r="F32" s="219">
        <v>1</v>
      </c>
      <c r="G32" s="92">
        <v>3</v>
      </c>
      <c r="H32" s="92">
        <v>0</v>
      </c>
      <c r="I32" s="92">
        <v>0</v>
      </c>
      <c r="J32" s="219">
        <v>0</v>
      </c>
      <c r="K32" s="219">
        <v>0</v>
      </c>
      <c r="L32" s="219">
        <f t="shared" si="0"/>
        <v>0</v>
      </c>
    </row>
    <row r="33" spans="1:12" outlineLevel="1">
      <c r="A33" s="226" t="s">
        <v>1584</v>
      </c>
      <c r="B33" s="227"/>
      <c r="C33" s="228"/>
      <c r="D33" s="229"/>
      <c r="E33" s="229"/>
      <c r="F33" s="230"/>
      <c r="G33" s="231">
        <f>SUBTOTAL(9,G31:G32)</f>
        <v>5</v>
      </c>
      <c r="H33" s="231">
        <f>SUBTOTAL(9,H31:H32)</f>
        <v>2</v>
      </c>
      <c r="I33" s="231">
        <f>SUBTOTAL(9,I31:I32)</f>
        <v>2</v>
      </c>
      <c r="J33" s="230">
        <f>H33/G33</f>
        <v>0.4</v>
      </c>
      <c r="K33" s="230">
        <f>I33/G33</f>
        <v>0.4</v>
      </c>
      <c r="L33" s="230">
        <f t="shared" si="0"/>
        <v>0</v>
      </c>
    </row>
    <row r="34" spans="1:12" outlineLevel="2">
      <c r="A34" s="223" t="s">
        <v>1370</v>
      </c>
      <c r="B34" s="224" t="s">
        <v>1508</v>
      </c>
      <c r="C34" s="223" t="s">
        <v>1509</v>
      </c>
      <c r="D34" s="225">
        <v>44487</v>
      </c>
      <c r="E34" s="225">
        <v>44487</v>
      </c>
      <c r="F34" s="219">
        <v>1</v>
      </c>
      <c r="G34" s="92">
        <v>1</v>
      </c>
      <c r="H34" s="92">
        <v>0</v>
      </c>
      <c r="I34" s="92">
        <v>0</v>
      </c>
      <c r="J34" s="219">
        <v>0</v>
      </c>
      <c r="K34" s="219">
        <v>0</v>
      </c>
      <c r="L34" s="219">
        <f t="shared" si="0"/>
        <v>0</v>
      </c>
    </row>
    <row r="35" spans="1:12" outlineLevel="1">
      <c r="A35" s="226" t="s">
        <v>1585</v>
      </c>
      <c r="B35" s="227"/>
      <c r="C35" s="228"/>
      <c r="D35" s="229"/>
      <c r="E35" s="229"/>
      <c r="F35" s="230"/>
      <c r="G35" s="231">
        <f>SUBTOTAL(9,G34:G34)</f>
        <v>1</v>
      </c>
      <c r="H35" s="231">
        <f>SUBTOTAL(9,H34:H34)</f>
        <v>0</v>
      </c>
      <c r="I35" s="231">
        <f>SUBTOTAL(9,I34:I34)</f>
        <v>0</v>
      </c>
      <c r="J35" s="230">
        <f>H35/G35</f>
        <v>0</v>
      </c>
      <c r="K35" s="230">
        <f>I35/G35</f>
        <v>0</v>
      </c>
      <c r="L35" s="230">
        <f t="shared" si="0"/>
        <v>0</v>
      </c>
    </row>
    <row r="36" spans="1:12" outlineLevel="2">
      <c r="A36" s="223" t="s">
        <v>1337</v>
      </c>
      <c r="B36" s="224" t="s">
        <v>1517</v>
      </c>
      <c r="C36" s="223" t="s">
        <v>1518</v>
      </c>
      <c r="D36" s="225">
        <v>44346</v>
      </c>
      <c r="E36" s="225">
        <v>44357</v>
      </c>
      <c r="F36" s="219">
        <v>1.2</v>
      </c>
      <c r="G36" s="92">
        <v>10.8</v>
      </c>
      <c r="H36" s="92">
        <v>2.4</v>
      </c>
      <c r="I36" s="92">
        <v>1.62</v>
      </c>
      <c r="J36" s="219">
        <v>0.22222222222222221</v>
      </c>
      <c r="K36" s="219">
        <v>0.15</v>
      </c>
      <c r="L36" s="234">
        <f t="shared" si="0"/>
        <v>-7.2222222222222215E-2</v>
      </c>
    </row>
    <row r="37" spans="1:12" outlineLevel="1">
      <c r="A37" s="226" t="s">
        <v>1586</v>
      </c>
      <c r="B37" s="227"/>
      <c r="C37" s="228"/>
      <c r="D37" s="229"/>
      <c r="E37" s="229"/>
      <c r="F37" s="230"/>
      <c r="G37" s="231">
        <f>SUBTOTAL(9,G36:G36)</f>
        <v>10.8</v>
      </c>
      <c r="H37" s="231">
        <f>SUBTOTAL(9,H36:H36)</f>
        <v>2.4</v>
      </c>
      <c r="I37" s="231">
        <f>SUBTOTAL(9,I36:I36)</f>
        <v>1.62</v>
      </c>
      <c r="J37" s="230">
        <f>H37/G37</f>
        <v>0.22222222222222221</v>
      </c>
      <c r="K37" s="230">
        <f>I37/G37</f>
        <v>0.15</v>
      </c>
      <c r="L37" s="235">
        <f t="shared" si="0"/>
        <v>-7.2222222222222215E-2</v>
      </c>
    </row>
    <row r="38" spans="1:12" outlineLevel="2">
      <c r="A38" s="223" t="s">
        <v>1571</v>
      </c>
      <c r="B38" s="224" t="s">
        <v>1101</v>
      </c>
      <c r="C38" s="223" t="s">
        <v>1500</v>
      </c>
      <c r="D38" s="225">
        <v>44361</v>
      </c>
      <c r="E38" s="225">
        <v>44365</v>
      </c>
      <c r="F38" s="219">
        <v>0.2</v>
      </c>
      <c r="G38" s="92">
        <v>1</v>
      </c>
      <c r="H38" s="92">
        <v>0</v>
      </c>
      <c r="I38" s="92">
        <v>0.5</v>
      </c>
      <c r="J38" s="219">
        <v>0</v>
      </c>
      <c r="K38" s="219">
        <v>0.5</v>
      </c>
      <c r="L38" s="219">
        <f t="shared" si="0"/>
        <v>0.5</v>
      </c>
    </row>
    <row r="39" spans="1:12" outlineLevel="2">
      <c r="A39" s="223" t="s">
        <v>1571</v>
      </c>
      <c r="B39" s="224" t="s">
        <v>1122</v>
      </c>
      <c r="C39" s="223" t="s">
        <v>1501</v>
      </c>
      <c r="D39" s="225">
        <v>44393</v>
      </c>
      <c r="E39" s="225">
        <v>44393</v>
      </c>
      <c r="F39" s="219">
        <v>0.2</v>
      </c>
      <c r="G39" s="92">
        <v>0.2</v>
      </c>
      <c r="H39" s="92">
        <v>0</v>
      </c>
      <c r="I39" s="92">
        <v>0</v>
      </c>
      <c r="J39" s="219">
        <v>0</v>
      </c>
      <c r="K39" s="219">
        <v>0</v>
      </c>
      <c r="L39" s="219">
        <f t="shared" si="0"/>
        <v>0</v>
      </c>
    </row>
    <row r="40" spans="1:12" outlineLevel="2">
      <c r="A40" s="223" t="s">
        <v>1571</v>
      </c>
      <c r="B40" s="224" t="s">
        <v>1502</v>
      </c>
      <c r="C40" s="223" t="s">
        <v>1503</v>
      </c>
      <c r="D40" s="225">
        <v>44429</v>
      </c>
      <c r="E40" s="225">
        <v>44454</v>
      </c>
      <c r="F40" s="219">
        <v>0.2</v>
      </c>
      <c r="G40" s="92">
        <v>3.6</v>
      </c>
      <c r="H40" s="92">
        <v>0</v>
      </c>
      <c r="I40" s="92">
        <v>0</v>
      </c>
      <c r="J40" s="219">
        <v>0</v>
      </c>
      <c r="K40" s="219">
        <v>0</v>
      </c>
      <c r="L40" s="219">
        <f t="shared" si="0"/>
        <v>0</v>
      </c>
    </row>
    <row r="41" spans="1:12" outlineLevel="1">
      <c r="A41" s="226" t="s">
        <v>1587</v>
      </c>
      <c r="B41" s="227"/>
      <c r="C41" s="228"/>
      <c r="D41" s="229"/>
      <c r="E41" s="229"/>
      <c r="F41" s="230"/>
      <c r="G41" s="231">
        <f>SUBTOTAL(9,G38:G40)</f>
        <v>4.8</v>
      </c>
      <c r="H41" s="231">
        <f>SUBTOTAL(9,H38:H40)</f>
        <v>0</v>
      </c>
      <c r="I41" s="231">
        <f>SUBTOTAL(9,I38:I40)</f>
        <v>0.5</v>
      </c>
      <c r="J41" s="230">
        <f>H41/G41</f>
        <v>0</v>
      </c>
      <c r="K41" s="230">
        <f>I41/G41</f>
        <v>0.10416666666666667</v>
      </c>
      <c r="L41" s="230">
        <f t="shared" si="0"/>
        <v>0.10416666666666667</v>
      </c>
    </row>
    <row r="42" spans="1:12" outlineLevel="2">
      <c r="A42" s="223" t="s">
        <v>1371</v>
      </c>
      <c r="B42" s="224" t="s">
        <v>1508</v>
      </c>
      <c r="C42" s="223" t="s">
        <v>1509</v>
      </c>
      <c r="D42" s="225">
        <v>44487</v>
      </c>
      <c r="E42" s="225">
        <v>44487</v>
      </c>
      <c r="F42" s="219">
        <v>1</v>
      </c>
      <c r="G42" s="92">
        <v>1</v>
      </c>
      <c r="H42" s="92">
        <v>0</v>
      </c>
      <c r="I42" s="92">
        <v>0</v>
      </c>
      <c r="J42" s="219">
        <v>0</v>
      </c>
      <c r="K42" s="219">
        <v>0</v>
      </c>
      <c r="L42" s="219">
        <f t="shared" si="0"/>
        <v>0</v>
      </c>
    </row>
    <row r="43" spans="1:12" outlineLevel="1">
      <c r="A43" s="226" t="s">
        <v>1588</v>
      </c>
      <c r="B43" s="227"/>
      <c r="C43" s="228"/>
      <c r="D43" s="229"/>
      <c r="E43" s="229"/>
      <c r="F43" s="230"/>
      <c r="G43" s="231">
        <f>SUBTOTAL(9,G42:G42)</f>
        <v>1</v>
      </c>
      <c r="H43" s="231">
        <f>SUBTOTAL(9,H42:H42)</f>
        <v>0</v>
      </c>
      <c r="I43" s="231">
        <f>SUBTOTAL(9,I42:I42)</f>
        <v>0</v>
      </c>
      <c r="J43" s="230">
        <f>H43/G43</f>
        <v>0</v>
      </c>
      <c r="K43" s="230">
        <f>I43/G43</f>
        <v>0</v>
      </c>
      <c r="L43" s="230">
        <f t="shared" si="0"/>
        <v>0</v>
      </c>
    </row>
    <row r="44" spans="1:12" outlineLevel="2">
      <c r="A44" s="223" t="s">
        <v>1334</v>
      </c>
      <c r="B44" s="224" t="s">
        <v>1098</v>
      </c>
      <c r="C44" s="223" t="s">
        <v>1495</v>
      </c>
      <c r="D44" s="225">
        <v>44336</v>
      </c>
      <c r="E44" s="225">
        <v>44337</v>
      </c>
      <c r="F44" s="219">
        <v>1</v>
      </c>
      <c r="G44" s="92">
        <v>2</v>
      </c>
      <c r="H44" s="92">
        <v>2</v>
      </c>
      <c r="I44" s="92">
        <v>2</v>
      </c>
      <c r="J44" s="219">
        <v>1</v>
      </c>
      <c r="K44" s="219">
        <v>1</v>
      </c>
      <c r="L44" s="219">
        <f t="shared" si="0"/>
        <v>0</v>
      </c>
    </row>
    <row r="45" spans="1:12" outlineLevel="2">
      <c r="A45" s="223" t="s">
        <v>1334</v>
      </c>
      <c r="B45" s="224" t="s">
        <v>1496</v>
      </c>
      <c r="C45" s="223" t="s">
        <v>1497</v>
      </c>
      <c r="D45" s="225">
        <v>44340</v>
      </c>
      <c r="E45" s="225">
        <v>44346</v>
      </c>
      <c r="F45" s="219">
        <v>1</v>
      </c>
      <c r="G45" s="92">
        <v>5</v>
      </c>
      <c r="H45" s="92">
        <v>5</v>
      </c>
      <c r="I45" s="92">
        <v>4.5</v>
      </c>
      <c r="J45" s="219">
        <v>1</v>
      </c>
      <c r="K45" s="219">
        <v>0.9</v>
      </c>
      <c r="L45" s="234">
        <f t="shared" si="0"/>
        <v>-9.9999999999999978E-2</v>
      </c>
    </row>
    <row r="46" spans="1:12" outlineLevel="2">
      <c r="A46" s="223" t="s">
        <v>1334</v>
      </c>
      <c r="B46" s="224" t="s">
        <v>1498</v>
      </c>
      <c r="C46" s="223" t="s">
        <v>1499</v>
      </c>
      <c r="D46" s="225">
        <v>44358</v>
      </c>
      <c r="E46" s="225">
        <v>44358</v>
      </c>
      <c r="F46" s="219">
        <v>0</v>
      </c>
      <c r="G46" s="92">
        <v>0</v>
      </c>
      <c r="H46" s="92">
        <v>0</v>
      </c>
      <c r="I46" s="92">
        <v>0</v>
      </c>
      <c r="J46" s="219">
        <v>0</v>
      </c>
      <c r="K46" s="219">
        <v>0</v>
      </c>
      <c r="L46" s="219">
        <f t="shared" si="0"/>
        <v>0</v>
      </c>
    </row>
    <row r="47" spans="1:12" outlineLevel="2">
      <c r="A47" s="223" t="s">
        <v>1334</v>
      </c>
      <c r="B47" s="224" t="s">
        <v>1103</v>
      </c>
      <c r="C47" s="223" t="s">
        <v>1506</v>
      </c>
      <c r="D47" s="225">
        <v>44462</v>
      </c>
      <c r="E47" s="225">
        <v>44466</v>
      </c>
      <c r="F47" s="219">
        <v>1</v>
      </c>
      <c r="G47" s="92">
        <v>3</v>
      </c>
      <c r="H47" s="92">
        <v>0</v>
      </c>
      <c r="I47" s="92">
        <v>0</v>
      </c>
      <c r="J47" s="219">
        <v>0</v>
      </c>
      <c r="K47" s="219">
        <v>0</v>
      </c>
      <c r="L47" s="219">
        <f t="shared" si="0"/>
        <v>0</v>
      </c>
    </row>
    <row r="48" spans="1:12" outlineLevel="2">
      <c r="A48" s="223" t="s">
        <v>1334</v>
      </c>
      <c r="B48" s="224" t="s">
        <v>1517</v>
      </c>
      <c r="C48" s="223" t="s">
        <v>1518</v>
      </c>
      <c r="D48" s="225">
        <v>44346</v>
      </c>
      <c r="E48" s="225">
        <v>44357</v>
      </c>
      <c r="F48" s="219">
        <v>0.5</v>
      </c>
      <c r="G48" s="92">
        <v>4.5</v>
      </c>
      <c r="H48" s="92">
        <v>1</v>
      </c>
      <c r="I48" s="92">
        <v>0.67499999999999993</v>
      </c>
      <c r="J48" s="219">
        <v>0.22222222222222221</v>
      </c>
      <c r="K48" s="219">
        <v>0.15</v>
      </c>
      <c r="L48" s="234">
        <f t="shared" si="0"/>
        <v>-7.2222222222222215E-2</v>
      </c>
    </row>
    <row r="49" spans="1:12" outlineLevel="1">
      <c r="A49" s="226" t="s">
        <v>1589</v>
      </c>
      <c r="B49" s="227"/>
      <c r="C49" s="228"/>
      <c r="D49" s="229"/>
      <c r="E49" s="229"/>
      <c r="F49" s="230"/>
      <c r="G49" s="231">
        <f>SUBTOTAL(9,G44:G48)</f>
        <v>14.5</v>
      </c>
      <c r="H49" s="231">
        <f>SUBTOTAL(9,H44:H48)</f>
        <v>8</v>
      </c>
      <c r="I49" s="231">
        <f>SUBTOTAL(9,I44:I48)</f>
        <v>7.1749999999999998</v>
      </c>
      <c r="J49" s="230">
        <f>H49/G49</f>
        <v>0.55172413793103448</v>
      </c>
      <c r="K49" s="230">
        <f>I49/G49</f>
        <v>0.49482758620689654</v>
      </c>
      <c r="L49" s="235">
        <f t="shared" si="0"/>
        <v>-5.6896551724137934E-2</v>
      </c>
    </row>
    <row r="50" spans="1:12" outlineLevel="2">
      <c r="A50" s="223" t="s">
        <v>739</v>
      </c>
      <c r="B50" s="224" t="s">
        <v>1123</v>
      </c>
      <c r="C50" s="223" t="s">
        <v>1507</v>
      </c>
      <c r="D50" s="225">
        <v>44469</v>
      </c>
      <c r="E50" s="225">
        <v>44487</v>
      </c>
      <c r="F50" s="219">
        <v>1</v>
      </c>
      <c r="G50" s="92">
        <v>13</v>
      </c>
      <c r="H50" s="92">
        <v>0</v>
      </c>
      <c r="I50" s="92">
        <v>0</v>
      </c>
      <c r="J50" s="219">
        <v>0</v>
      </c>
      <c r="K50" s="219">
        <v>0</v>
      </c>
      <c r="L50" s="219">
        <f t="shared" si="0"/>
        <v>0</v>
      </c>
    </row>
    <row r="51" spans="1:12" outlineLevel="1">
      <c r="A51" s="226" t="s">
        <v>1590</v>
      </c>
      <c r="B51" s="227"/>
      <c r="C51" s="228"/>
      <c r="D51" s="229"/>
      <c r="E51" s="229"/>
      <c r="F51" s="230"/>
      <c r="G51" s="231">
        <f>SUBTOTAL(9,G50:G50)</f>
        <v>13</v>
      </c>
      <c r="H51" s="231">
        <f>SUBTOTAL(9,H50:H50)</f>
        <v>0</v>
      </c>
      <c r="I51" s="231">
        <f>SUBTOTAL(9,I50:I50)</f>
        <v>0</v>
      </c>
      <c r="J51" s="230">
        <f>H51/G51</f>
        <v>0</v>
      </c>
      <c r="K51" s="230">
        <f>I51/G51</f>
        <v>0</v>
      </c>
      <c r="L51" s="230">
        <f t="shared" si="0"/>
        <v>0</v>
      </c>
    </row>
    <row r="52" spans="1:12" outlineLevel="1">
      <c r="J52" s="219"/>
      <c r="K52" s="219"/>
      <c r="L52" s="219"/>
    </row>
    <row r="53" spans="1:12" outlineLevel="1">
      <c r="A53" s="232" t="s">
        <v>1591</v>
      </c>
      <c r="B53" s="233"/>
      <c r="C53" s="233"/>
      <c r="D53" s="233"/>
      <c r="E53" s="233"/>
      <c r="F53" s="230"/>
      <c r="G53" s="231">
        <f>SUBTOTAL(9,G7:G52)</f>
        <v>286.10000000000002</v>
      </c>
      <c r="H53" s="231">
        <f>SUBTOTAL(9,H7:H52)</f>
        <v>21.4</v>
      </c>
      <c r="I53" s="231">
        <f>SUBTOTAL(9,I7:I52)</f>
        <v>28.095000000000002</v>
      </c>
      <c r="J53" s="230">
        <f>H53/G53</f>
        <v>7.4799021321216352E-2</v>
      </c>
      <c r="K53" s="230">
        <f>I53/G53</f>
        <v>9.8199930094372598E-2</v>
      </c>
      <c r="L53" s="230">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A895B996-AF73-4DFB-A6A0-DD9F2CBBC0A6}"/>
    <hyperlink ref="B31" location="Schedule!$D$7" display="1.1.1" xr:uid="{FDAD2D33-A7D8-4A58-B3AE-6841BEF0CAD4}"/>
    <hyperlink ref="B45" location="Schedule!$D$9" display="1.1.2.1" xr:uid="{982EA39D-9005-42AD-8E26-943866C39606}"/>
    <hyperlink ref="B46" location="Schedule!$D$10" display="1.1.2.2" xr:uid="{88FA975D-C75B-4E27-9381-7E2526F716E7}"/>
    <hyperlink ref="B38" location="Schedule!$D$12" display="1.2.1" xr:uid="{F093F401-1199-4D00-B80B-8A7B8BC7224D}"/>
    <hyperlink ref="B39" location="Schedule!$D$13" display="1.2.2" xr:uid="{0D559EA6-6583-4C08-B15E-A9E853647D0D}"/>
    <hyperlink ref="B40" location="Schedule!$D$14" display="1.2.3" xr:uid="{EF09F7D8-643E-45C4-BA3C-A6CC4DC37F8E}"/>
    <hyperlink ref="B7" location="Schedule!$D$15" display="1.2.4" xr:uid="{59D804F7-F2D7-4341-87B9-4DBFD674705B}"/>
    <hyperlink ref="B32" location="Schedule!$D$17" display="1.3.1" xr:uid="{C3ADBBDB-DCB1-49AD-8AA8-8F02540081BD}"/>
    <hyperlink ref="B47" location="Schedule!$D$17" display="1.3.1" xr:uid="{03E54A71-062E-43F1-9CE4-ED0F13BCA697}"/>
    <hyperlink ref="B50" location="Schedule!$D$18" display="1.3.2" xr:uid="{6A2E3E72-3CBC-4050-A9A6-9A74202F7828}"/>
    <hyperlink ref="B34" location="Schedule!$D$19" display="1.3.3" xr:uid="{90B02BB4-7ADD-452B-A28C-24963918FE1D}"/>
    <hyperlink ref="B42" location="Schedule!$D$19" display="1.3.3" xr:uid="{3893CB23-C169-4913-8BE5-79006778B06F}"/>
    <hyperlink ref="B8" location="Schedule!$D$20" display="1.3.4" xr:uid="{F13D5F7F-B068-4DD7-93BC-7B003B5D3B89}"/>
    <hyperlink ref="B9" location="Schedule!$D$24" display="2.1.1" xr:uid="{B0864D3C-7F87-4972-98B3-ECECD1164167}"/>
    <hyperlink ref="B10" location="Schedule!$D$26" display="2.1.2.1" xr:uid="{D5B67B88-0F02-4A08-9419-358633426188}"/>
    <hyperlink ref="B36" location="Schedule!$D$27" display="2.1.2.2" xr:uid="{D2D91B77-D6E0-423D-AFF9-30CA87975CE2}"/>
    <hyperlink ref="B48" location="Schedule!$D$27" display="2.1.2.2" xr:uid="{31710969-C8E4-47B9-A35E-DAE3B806C3D4}"/>
    <hyperlink ref="B11" location="Schedule!$D$29" display="2.2.1" xr:uid="{39C40DB5-33DE-40AF-8804-C42085E6CE0E}"/>
    <hyperlink ref="B12" location="Schedule!$D$31" display="2.2.2.1" xr:uid="{0E3988DA-1430-440E-8AA9-9289F1DA98C0}"/>
    <hyperlink ref="B13" location="Schedule!$D$32" display="2.2.2.2" xr:uid="{4FDA4863-2138-40B4-A87F-2B4D5EED0D3F}"/>
    <hyperlink ref="B14" location="Schedule!$D$33" display="2.2.2.3" xr:uid="{1A1DB65A-C567-411E-A1AE-FB8E0B8663DB}"/>
    <hyperlink ref="B15" location="Schedule!$D$34" display="2.2.3" xr:uid="{6731357A-592F-4982-AA2A-DB5A4F405BE3}"/>
    <hyperlink ref="B16" location="Schedule!$D$37" display="2.3.1.1" xr:uid="{46F6C8B3-B104-42C4-A9E8-FA186072A2BD}"/>
    <hyperlink ref="B17" location="Schedule!$D$40" display="2.3.1.2.1.1" xr:uid="{67F3385C-BE81-4562-B0BD-69CEA048CA22}"/>
    <hyperlink ref="B18" location="Schedule!$D$41" display="2.3.1.2.1.2" xr:uid="{03D3E5C2-A0B6-43A5-AC31-CABBADE753A8}"/>
    <hyperlink ref="B19" location="Schedule!$D$42" display="2.3.1.2.1.3" xr:uid="{4C6A41B9-FDEC-4113-B269-C5BB8F915341}"/>
    <hyperlink ref="B20" location="Schedule!$D$43" display="2.3.1.2.2" xr:uid="{C3AC1075-17F1-4DDC-B985-49E6BA835B5D}"/>
    <hyperlink ref="B21" location="Schedule!$D$44" display="2.3.1.2.3" xr:uid="{790708E0-A702-422A-8B1B-2C2D7D8D4853}"/>
    <hyperlink ref="B22" location="Schedule!$D$45" display="2.3.1.2.4" xr:uid="{387BF50F-9B1B-4445-A2DB-0EE0F1F2AEFE}"/>
    <hyperlink ref="B23" location="Schedule!$D$47" display="2.3.2.1" xr:uid="{D54F8B4F-1CA5-4B69-885D-2B540B19820C}"/>
    <hyperlink ref="B24" location="Schedule!$D$48" display="2.3.2.2" xr:uid="{508C94CF-6582-4021-B82E-394ADA087C75}"/>
    <hyperlink ref="B25" location="Schedule!$D$51" display="2.4.1.1" xr:uid="{BCF0F5EB-BC45-4328-ABE3-FDF1E41FD823}"/>
    <hyperlink ref="B26" location="Schedule!$D$53" display="2.4.2.1" xr:uid="{4288A9F1-981B-4FC1-9A62-E78468E040BD}"/>
    <hyperlink ref="B27" location="Schedule!$D$54" display="2.4.2.2" xr:uid="{FABDBC75-B223-428A-BF71-A668CF9FE219}"/>
    <hyperlink ref="B28" location="Schedule!$D$55" display="2.4.2.3" xr:uid="{2EEE6009-5CC6-4774-A8F5-DD1ED7D26FB8}"/>
    <hyperlink ref="B29" location="Schedule!$D$56" display="2.4.2.4" xr:uid="{161ECC63-A368-4FE6-89A8-79A5E4CAA393}"/>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1487</v>
      </c>
      <c r="B1" s="1"/>
      <c r="C1" s="1"/>
      <c r="D1" s="1"/>
      <c r="E1" s="1"/>
      <c r="F1" s="1"/>
      <c r="G1" s="1"/>
      <c r="H1" s="1"/>
    </row>
    <row r="2" spans="1:9" s="65" customFormat="1" ht="78.75" customHeight="1">
      <c r="A2" s="293" t="s">
        <v>1488</v>
      </c>
      <c r="B2" s="293"/>
      <c r="C2" s="293"/>
      <c r="D2" s="293"/>
      <c r="E2" s="293"/>
      <c r="F2" s="293"/>
      <c r="G2" s="293"/>
      <c r="H2" s="293"/>
    </row>
    <row r="3" spans="1:9" s="65" customFormat="1" ht="24.75" customHeight="1">
      <c r="A3" s="294" t="s">
        <v>1489</v>
      </c>
      <c r="B3" s="294"/>
      <c r="D3" s="294" t="s">
        <v>1490</v>
      </c>
      <c r="E3" s="294"/>
      <c r="G3" s="294" t="s">
        <v>1491</v>
      </c>
      <c r="H3" s="294"/>
    </row>
    <row r="4" spans="1:9" s="67" customFormat="1" ht="19.5" customHeight="1">
      <c r="A4" s="66" t="s">
        <v>1492</v>
      </c>
      <c r="B4" s="66" t="s">
        <v>1493</v>
      </c>
      <c r="D4" s="66" t="s">
        <v>1492</v>
      </c>
      <c r="E4" s="66" t="s">
        <v>1493</v>
      </c>
      <c r="G4" s="66" t="s">
        <v>1492</v>
      </c>
      <c r="H4" s="66" t="s">
        <v>1493</v>
      </c>
    </row>
    <row r="5" spans="1:9" s="97" customFormat="1" ht="16.5">
      <c r="A5" s="95" t="s">
        <v>1128</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1129</v>
      </c>
      <c r="B6" s="96">
        <v>43854</v>
      </c>
      <c r="C6" s="97" t="str">
        <f t="shared" si="0"/>
        <v>(금)</v>
      </c>
      <c r="D6" s="98"/>
      <c r="E6" s="99"/>
      <c r="F6" s="97" t="str">
        <f t="shared" si="1"/>
        <v/>
      </c>
      <c r="G6" s="98"/>
      <c r="H6" s="99"/>
      <c r="I6" s="97" t="str">
        <f t="shared" si="2"/>
        <v/>
      </c>
    </row>
    <row r="7" spans="1:9" s="97" customFormat="1" ht="16.5">
      <c r="A7" s="95" t="s">
        <v>1317</v>
      </c>
      <c r="B7" s="96">
        <v>43857</v>
      </c>
      <c r="C7" s="97" t="str">
        <f t="shared" si="0"/>
        <v>(월)</v>
      </c>
      <c r="D7" s="98"/>
      <c r="E7" s="99"/>
      <c r="F7" s="97" t="str">
        <f t="shared" si="1"/>
        <v/>
      </c>
      <c r="G7" s="98"/>
      <c r="H7" s="99"/>
      <c r="I7" s="97" t="str">
        <f t="shared" si="2"/>
        <v/>
      </c>
    </row>
    <row r="8" spans="1:9" s="97" customFormat="1" ht="16.5">
      <c r="A8" s="95" t="s">
        <v>1318</v>
      </c>
      <c r="B8" s="96">
        <v>43936</v>
      </c>
      <c r="C8" s="97" t="str">
        <f t="shared" si="0"/>
        <v>(수)</v>
      </c>
      <c r="D8" s="98"/>
      <c r="E8" s="99"/>
      <c r="F8" s="97" t="str">
        <f t="shared" si="1"/>
        <v/>
      </c>
      <c r="G8" s="98"/>
      <c r="H8" s="99"/>
      <c r="I8" s="97" t="str">
        <f t="shared" si="2"/>
        <v/>
      </c>
    </row>
    <row r="9" spans="1:9" s="97" customFormat="1" ht="16.5">
      <c r="A9" s="95" t="s">
        <v>1319</v>
      </c>
      <c r="B9" s="96">
        <v>43951</v>
      </c>
      <c r="C9" s="97" t="str">
        <f t="shared" si="0"/>
        <v>(목)</v>
      </c>
      <c r="D9" s="98"/>
      <c r="E9" s="99"/>
      <c r="F9" s="97" t="str">
        <f t="shared" si="1"/>
        <v/>
      </c>
      <c r="G9" s="98"/>
      <c r="H9" s="99"/>
      <c r="I9" s="97" t="str">
        <f t="shared" si="2"/>
        <v/>
      </c>
    </row>
    <row r="10" spans="1:9" s="97" customFormat="1" ht="16.5">
      <c r="A10" s="95" t="s">
        <v>1320</v>
      </c>
      <c r="B10" s="96">
        <v>43956</v>
      </c>
      <c r="C10" s="97" t="str">
        <f t="shared" si="0"/>
        <v>(화)</v>
      </c>
      <c r="D10" s="98"/>
      <c r="E10" s="99"/>
      <c r="F10" s="97" t="str">
        <f t="shared" si="1"/>
        <v/>
      </c>
      <c r="G10" s="98"/>
      <c r="H10" s="99"/>
      <c r="I10" s="97" t="str">
        <f t="shared" si="2"/>
        <v/>
      </c>
    </row>
    <row r="11" spans="1:9" s="97" customFormat="1" ht="16.5">
      <c r="A11" s="95" t="s">
        <v>1325</v>
      </c>
      <c r="B11" s="96">
        <v>44060</v>
      </c>
      <c r="C11" s="97" t="str">
        <f t="shared" si="0"/>
        <v>(월)</v>
      </c>
      <c r="D11" s="98"/>
      <c r="E11" s="99"/>
      <c r="F11" s="97" t="str">
        <f t="shared" si="1"/>
        <v/>
      </c>
      <c r="G11" s="98"/>
      <c r="H11" s="99"/>
      <c r="I11" s="97" t="str">
        <f t="shared" si="2"/>
        <v/>
      </c>
    </row>
    <row r="12" spans="1:9" s="97" customFormat="1" ht="16.5">
      <c r="A12" s="95" t="s">
        <v>1321</v>
      </c>
      <c r="B12" s="96">
        <v>44104</v>
      </c>
      <c r="C12" s="97" t="str">
        <f t="shared" si="0"/>
        <v>(수)</v>
      </c>
      <c r="D12" s="98"/>
      <c r="E12" s="99"/>
      <c r="F12" s="97" t="str">
        <f t="shared" si="1"/>
        <v/>
      </c>
      <c r="G12" s="98"/>
      <c r="H12" s="99"/>
      <c r="I12" s="97" t="str">
        <f t="shared" si="2"/>
        <v/>
      </c>
    </row>
    <row r="13" spans="1:9" s="97" customFormat="1" ht="16.5">
      <c r="A13" s="95" t="s">
        <v>1322</v>
      </c>
      <c r="B13" s="96">
        <v>44105</v>
      </c>
      <c r="C13" s="97" t="str">
        <f t="shared" si="0"/>
        <v>(목)</v>
      </c>
      <c r="D13" s="98"/>
      <c r="E13" s="99"/>
      <c r="F13" s="97" t="str">
        <f t="shared" si="1"/>
        <v/>
      </c>
      <c r="G13" s="98"/>
      <c r="H13" s="99"/>
      <c r="I13" s="97" t="str">
        <f t="shared" si="2"/>
        <v/>
      </c>
    </row>
    <row r="14" spans="1:9" s="97" customFormat="1" ht="16.5">
      <c r="A14" s="95" t="s">
        <v>1321</v>
      </c>
      <c r="B14" s="96">
        <v>44106</v>
      </c>
      <c r="C14" s="97" t="str">
        <f t="shared" si="0"/>
        <v>(금)</v>
      </c>
      <c r="D14" s="98"/>
      <c r="E14" s="99"/>
      <c r="F14" s="97" t="str">
        <f t="shared" si="1"/>
        <v/>
      </c>
      <c r="G14" s="98"/>
      <c r="H14" s="99"/>
      <c r="I14" s="97" t="str">
        <f t="shared" si="2"/>
        <v/>
      </c>
    </row>
    <row r="15" spans="1:9" s="97" customFormat="1" ht="16.5">
      <c r="A15" s="95" t="s">
        <v>1323</v>
      </c>
      <c r="B15" s="96">
        <v>44113</v>
      </c>
      <c r="C15" s="97" t="str">
        <f t="shared" si="0"/>
        <v>(금)</v>
      </c>
      <c r="D15" s="98"/>
      <c r="E15" s="99"/>
      <c r="F15" s="97" t="str">
        <f t="shared" si="1"/>
        <v/>
      </c>
      <c r="G15" s="98"/>
      <c r="H15" s="99"/>
      <c r="I15" s="97" t="str">
        <f t="shared" si="2"/>
        <v/>
      </c>
    </row>
    <row r="16" spans="1:9" s="97" customFormat="1" ht="16.5">
      <c r="A16" s="95" t="s">
        <v>1324</v>
      </c>
      <c r="B16" s="96">
        <v>44190</v>
      </c>
      <c r="C16" s="97" t="str">
        <f t="shared" si="0"/>
        <v>(금)</v>
      </c>
      <c r="D16" s="98"/>
      <c r="E16" s="99"/>
      <c r="F16" s="97" t="str">
        <f t="shared" si="1"/>
        <v/>
      </c>
      <c r="G16" s="98"/>
      <c r="H16" s="99"/>
      <c r="I16" s="97" t="str">
        <f t="shared" si="2"/>
        <v/>
      </c>
    </row>
    <row r="17" spans="1:10" s="97" customFormat="1" ht="16.5">
      <c r="A17" s="95" t="s">
        <v>1326</v>
      </c>
      <c r="B17" s="96">
        <v>44197</v>
      </c>
      <c r="C17" s="97" t="str">
        <f t="shared" si="0"/>
        <v>(금)</v>
      </c>
      <c r="D17" s="98"/>
      <c r="E17" s="99"/>
      <c r="F17" s="97" t="str">
        <f t="shared" si="1"/>
        <v/>
      </c>
      <c r="G17" s="98"/>
      <c r="H17" s="99"/>
      <c r="I17" s="97" t="str">
        <f t="shared" si="2"/>
        <v/>
      </c>
    </row>
    <row r="18" spans="1:10" s="97" customFormat="1" ht="16.5">
      <c r="A18" s="95" t="s">
        <v>1327</v>
      </c>
      <c r="B18" s="96">
        <v>44238</v>
      </c>
      <c r="C18" s="97" t="str">
        <f t="shared" si="0"/>
        <v>(목)</v>
      </c>
      <c r="D18" s="98"/>
      <c r="E18" s="99"/>
      <c r="F18" s="97" t="str">
        <f t="shared" si="1"/>
        <v/>
      </c>
      <c r="G18" s="98"/>
      <c r="H18" s="99"/>
      <c r="I18" s="97" t="str">
        <f t="shared" si="2"/>
        <v/>
      </c>
    </row>
    <row r="19" spans="1:10" s="97" customFormat="1" ht="17.25">
      <c r="A19" s="95" t="s">
        <v>1328</v>
      </c>
      <c r="B19" s="96">
        <v>44239</v>
      </c>
      <c r="C19" s="97" t="str">
        <f t="shared" si="0"/>
        <v>(금)</v>
      </c>
      <c r="D19" s="98"/>
      <c r="E19" s="99"/>
      <c r="F19" s="97" t="str">
        <f t="shared" si="1"/>
        <v/>
      </c>
      <c r="G19" s="98"/>
      <c r="H19" s="99"/>
      <c r="I19" s="97" t="str">
        <f t="shared" si="2"/>
        <v/>
      </c>
      <c r="J19" s="100"/>
    </row>
    <row r="20" spans="1:10" s="97" customFormat="1" ht="17.25">
      <c r="A20" s="95" t="s">
        <v>1329</v>
      </c>
      <c r="B20" s="96">
        <v>44256</v>
      </c>
      <c r="C20" s="97" t="str">
        <f t="shared" si="0"/>
        <v>(월)</v>
      </c>
      <c r="D20" s="98"/>
      <c r="E20" s="99"/>
      <c r="F20" s="97" t="str">
        <f t="shared" si="1"/>
        <v/>
      </c>
      <c r="G20" s="98"/>
      <c r="H20" s="99"/>
      <c r="I20" s="97" t="str">
        <f t="shared" si="2"/>
        <v/>
      </c>
      <c r="J20" s="100"/>
    </row>
    <row r="21" spans="1:10" s="97" customFormat="1" ht="16.5">
      <c r="A21" s="95" t="s">
        <v>1330</v>
      </c>
      <c r="B21" s="96">
        <v>44321</v>
      </c>
      <c r="C21" s="97" t="str">
        <f t="shared" si="0"/>
        <v>(수)</v>
      </c>
      <c r="D21" s="98"/>
      <c r="E21" s="99"/>
      <c r="F21" s="97" t="str">
        <f t="shared" si="1"/>
        <v/>
      </c>
      <c r="G21" s="98"/>
      <c r="H21" s="99"/>
      <c r="I21" s="97" t="str">
        <f t="shared" si="2"/>
        <v/>
      </c>
    </row>
    <row r="22" spans="1:10" s="97" customFormat="1" ht="16.5">
      <c r="A22" s="95" t="s">
        <v>1331</v>
      </c>
      <c r="B22" s="96">
        <v>44335</v>
      </c>
      <c r="C22" s="97" t="str">
        <f t="shared" si="0"/>
        <v>(수)</v>
      </c>
      <c r="D22" s="98"/>
      <c r="E22" s="99"/>
      <c r="F22" s="97" t="str">
        <f t="shared" si="1"/>
        <v/>
      </c>
      <c r="G22" s="98"/>
      <c r="H22" s="99"/>
      <c r="I22" s="97" t="str">
        <f t="shared" si="2"/>
        <v/>
      </c>
    </row>
    <row r="23" spans="1:10" s="97" customFormat="1" ht="16.5">
      <c r="A23" s="95" t="s">
        <v>1332</v>
      </c>
      <c r="B23" s="96">
        <v>44459</v>
      </c>
      <c r="C23" s="97" t="str">
        <f t="shared" si="0"/>
        <v>(월)</v>
      </c>
      <c r="D23" s="98"/>
      <c r="E23" s="99"/>
      <c r="F23" s="97" t="str">
        <f t="shared" si="1"/>
        <v/>
      </c>
      <c r="G23" s="98"/>
      <c r="H23" s="99"/>
      <c r="I23" s="97" t="str">
        <f t="shared" si="2"/>
        <v/>
      </c>
    </row>
    <row r="24" spans="1:10" s="97" customFormat="1" ht="16.5">
      <c r="A24" s="95" t="s">
        <v>1333</v>
      </c>
      <c r="B24" s="96">
        <v>44460</v>
      </c>
      <c r="C24" s="97" t="str">
        <f t="shared" si="0"/>
        <v>(화)</v>
      </c>
      <c r="D24" s="98"/>
      <c r="E24" s="99"/>
      <c r="F24" s="97" t="str">
        <f t="shared" si="1"/>
        <v/>
      </c>
      <c r="G24" s="98"/>
      <c r="H24" s="99"/>
      <c r="I24" s="97" t="str">
        <f t="shared" si="2"/>
        <v/>
      </c>
    </row>
    <row r="25" spans="1:10" s="97" customFormat="1" ht="16.5">
      <c r="A25" s="95" t="s">
        <v>1332</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1494</v>
      </c>
      <c r="D305" s="97" t="s">
        <v>1494</v>
      </c>
      <c r="G305" s="97" t="s">
        <v>1494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1350</v>
      </c>
    </row>
    <row r="2" spans="1:6" ht="84">
      <c r="A2" s="87" t="s">
        <v>1339</v>
      </c>
      <c r="B2" s="88">
        <v>1</v>
      </c>
      <c r="C2" s="89" t="s">
        <v>1022</v>
      </c>
      <c r="D2" s="90" t="s">
        <v>501</v>
      </c>
      <c r="E2" s="90" t="s">
        <v>584</v>
      </c>
      <c r="F2" s="90" t="s">
        <v>584</v>
      </c>
    </row>
    <row r="3" spans="1:6" ht="96">
      <c r="A3" s="175">
        <v>600</v>
      </c>
      <c r="B3" s="88">
        <v>2</v>
      </c>
      <c r="C3" s="89" t="s">
        <v>1022</v>
      </c>
      <c r="D3" s="90" t="s">
        <v>494</v>
      </c>
      <c r="E3" s="90" t="s">
        <v>585</v>
      </c>
      <c r="F3" s="90" t="s">
        <v>585</v>
      </c>
    </row>
    <row r="4" spans="1:6" ht="60">
      <c r="B4" s="88">
        <v>3</v>
      </c>
      <c r="C4" s="89" t="s">
        <v>1022</v>
      </c>
      <c r="D4" s="90" t="s">
        <v>502</v>
      </c>
      <c r="E4" s="90" t="s">
        <v>586</v>
      </c>
      <c r="F4" s="90" t="s">
        <v>586</v>
      </c>
    </row>
    <row r="5" spans="1:6" ht="60">
      <c r="B5" s="88">
        <v>4</v>
      </c>
      <c r="C5" s="89" t="s">
        <v>1022</v>
      </c>
      <c r="D5" s="90" t="s">
        <v>503</v>
      </c>
      <c r="E5" s="90" t="s">
        <v>587</v>
      </c>
      <c r="F5" s="90" t="s">
        <v>587</v>
      </c>
    </row>
    <row r="6" spans="1:6" ht="60">
      <c r="B6" s="88">
        <v>5</v>
      </c>
      <c r="C6" s="89" t="s">
        <v>1022</v>
      </c>
      <c r="D6" s="90" t="s">
        <v>504</v>
      </c>
      <c r="E6" s="90" t="s">
        <v>588</v>
      </c>
      <c r="F6" s="90" t="s">
        <v>588</v>
      </c>
    </row>
    <row r="7" spans="1:6" ht="48">
      <c r="B7" s="88">
        <v>6</v>
      </c>
      <c r="C7" s="89" t="s">
        <v>1022</v>
      </c>
      <c r="D7" s="90" t="s">
        <v>505</v>
      </c>
      <c r="E7" s="90" t="s">
        <v>589</v>
      </c>
      <c r="F7" s="90" t="s">
        <v>589</v>
      </c>
    </row>
    <row r="8" spans="1:6">
      <c r="B8" s="88">
        <v>7</v>
      </c>
      <c r="C8" s="89" t="s">
        <v>1022</v>
      </c>
      <c r="D8" s="90" t="s">
        <v>496</v>
      </c>
      <c r="E8" s="90" t="s">
        <v>590</v>
      </c>
      <c r="F8" s="90" t="s">
        <v>590</v>
      </c>
    </row>
    <row r="9" spans="1:6" ht="48">
      <c r="B9" s="88">
        <v>8</v>
      </c>
      <c r="C9" s="89" t="s">
        <v>1229</v>
      </c>
      <c r="D9" s="90" t="s">
        <v>1226</v>
      </c>
      <c r="E9" s="90" t="s">
        <v>1145</v>
      </c>
      <c r="F9" s="90" t="s">
        <v>1145</v>
      </c>
    </row>
    <row r="10" spans="1:6" ht="48">
      <c r="B10" s="88">
        <v>9</v>
      </c>
      <c r="C10" s="89" t="s">
        <v>1229</v>
      </c>
      <c r="D10" s="90" t="s">
        <v>1207</v>
      </c>
      <c r="E10" s="90" t="s">
        <v>1169</v>
      </c>
      <c r="F10" s="90" t="s">
        <v>1169</v>
      </c>
    </row>
    <row r="11" spans="1:6" ht="60">
      <c r="B11" s="88">
        <v>10</v>
      </c>
      <c r="C11" s="89" t="s">
        <v>1229</v>
      </c>
      <c r="D11" s="90" t="s">
        <v>1227</v>
      </c>
      <c r="E11" s="90" t="s">
        <v>1209</v>
      </c>
      <c r="F11" s="90" t="s">
        <v>1209</v>
      </c>
    </row>
    <row r="12" spans="1:6" ht="48">
      <c r="B12" s="88">
        <v>11</v>
      </c>
      <c r="C12" s="89" t="s">
        <v>1229</v>
      </c>
      <c r="D12" s="90" t="s">
        <v>1212</v>
      </c>
      <c r="E12" s="90" t="s">
        <v>1211</v>
      </c>
      <c r="F12" s="90" t="s">
        <v>1211</v>
      </c>
    </row>
    <row r="13" spans="1:6" ht="72">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4">
      <c r="B19" s="88">
        <v>106</v>
      </c>
      <c r="D19" s="90" t="s">
        <v>418</v>
      </c>
      <c r="E19" s="90" t="s">
        <v>596</v>
      </c>
      <c r="F19" s="90" t="s">
        <v>596</v>
      </c>
    </row>
    <row r="20" spans="1:6" ht="36">
      <c r="B20" s="88">
        <v>107</v>
      </c>
      <c r="D20" s="90" t="s">
        <v>419</v>
      </c>
      <c r="E20" s="90" t="s">
        <v>597</v>
      </c>
      <c r="F20" s="90" t="s">
        <v>597</v>
      </c>
    </row>
    <row r="21" spans="1:6" ht="36">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4">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4">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4">
      <c r="B38" s="88">
        <v>125</v>
      </c>
      <c r="D38" s="90" t="s">
        <v>1065</v>
      </c>
      <c r="E38" s="90" t="s">
        <v>1066</v>
      </c>
      <c r="F38" s="90" t="s">
        <v>1066</v>
      </c>
    </row>
    <row r="39" spans="2:6" ht="24">
      <c r="B39" s="88">
        <v>126</v>
      </c>
      <c r="D39" s="90" t="s">
        <v>1064</v>
      </c>
      <c r="E39" s="90" t="s">
        <v>1063</v>
      </c>
      <c r="F39" s="90" t="s">
        <v>1063</v>
      </c>
    </row>
    <row r="40" spans="2:6" ht="24">
      <c r="B40" s="88">
        <v>127</v>
      </c>
      <c r="D40" s="90" t="s">
        <v>80</v>
      </c>
      <c r="E40" s="90" t="s">
        <v>608</v>
      </c>
      <c r="F40" s="90" t="s">
        <v>608</v>
      </c>
    </row>
    <row r="41" spans="2:6" ht="24">
      <c r="B41" s="88">
        <v>128</v>
      </c>
      <c r="D41" s="90" t="s">
        <v>81</v>
      </c>
      <c r="E41" s="90" t="s">
        <v>609</v>
      </c>
      <c r="F41" s="90" t="s">
        <v>609</v>
      </c>
    </row>
    <row r="42" spans="2:6" ht="24">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1367</v>
      </c>
      <c r="E46" s="90" t="s">
        <v>613</v>
      </c>
      <c r="F46" s="90" t="s">
        <v>613</v>
      </c>
    </row>
    <row r="47" spans="2:6">
      <c r="B47" s="88">
        <v>134</v>
      </c>
      <c r="D47" s="90" t="s">
        <v>1366</v>
      </c>
      <c r="E47" s="90" t="s">
        <v>614</v>
      </c>
      <c r="F47" s="90" t="s">
        <v>614</v>
      </c>
    </row>
    <row r="48" spans="2:6">
      <c r="B48" s="88">
        <v>135</v>
      </c>
      <c r="D48" s="175" t="s">
        <v>1365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4">
      <c r="B53" s="88">
        <v>140</v>
      </c>
      <c r="D53" s="90" t="s">
        <v>86</v>
      </c>
      <c r="E53" s="90" t="s">
        <v>616</v>
      </c>
      <c r="F53" s="90" t="s">
        <v>616</v>
      </c>
    </row>
    <row r="54" spans="2:6" ht="24">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4">
      <c r="B58" s="88">
        <v>145</v>
      </c>
      <c r="D58" s="90" t="s">
        <v>89</v>
      </c>
      <c r="E58" s="90" t="s">
        <v>619</v>
      </c>
      <c r="F58" s="90" t="s">
        <v>619</v>
      </c>
    </row>
    <row r="59" spans="2:6">
      <c r="B59" s="88">
        <v>146</v>
      </c>
      <c r="D59" s="90" t="s">
        <v>90</v>
      </c>
      <c r="E59" s="90" t="s">
        <v>620</v>
      </c>
      <c r="F59" s="90" t="s">
        <v>620</v>
      </c>
    </row>
    <row r="60" spans="2:6" ht="24">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4">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4">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36">
      <c r="B95" s="88">
        <v>182</v>
      </c>
      <c r="C95" s="89" t="s">
        <v>1143</v>
      </c>
      <c r="D95" s="90" t="s">
        <v>1228</v>
      </c>
      <c r="E95" s="90" t="s">
        <v>1168</v>
      </c>
      <c r="F95" s="90" t="s">
        <v>1168</v>
      </c>
    </row>
    <row r="96" spans="1:6">
      <c r="B96" s="88">
        <v>183</v>
      </c>
      <c r="D96" s="90" t="s">
        <v>109</v>
      </c>
      <c r="E96" s="90" t="s">
        <v>645</v>
      </c>
      <c r="F96" s="90" t="s">
        <v>645</v>
      </c>
    </row>
    <row r="97" spans="2:6">
      <c r="B97" s="88">
        <v>184</v>
      </c>
      <c r="D97" s="90" t="s">
        <v>1345</v>
      </c>
      <c r="E97" s="90" t="s">
        <v>1356</v>
      </c>
      <c r="F97" s="90" t="s">
        <v>1356</v>
      </c>
    </row>
    <row r="98" spans="2:6">
      <c r="B98" s="88">
        <v>185</v>
      </c>
      <c r="D98" s="90" t="s">
        <v>110</v>
      </c>
      <c r="E98" s="90" t="s">
        <v>646</v>
      </c>
      <c r="F98" s="90" t="s">
        <v>646</v>
      </c>
    </row>
    <row r="99" spans="2:6" ht="24">
      <c r="B99" s="88">
        <v>186</v>
      </c>
      <c r="D99" s="90" t="s">
        <v>111</v>
      </c>
      <c r="E99" s="90" t="s">
        <v>647</v>
      </c>
      <c r="F99" s="90" t="s">
        <v>647</v>
      </c>
    </row>
    <row r="100" spans="2:6" ht="24">
      <c r="B100" s="88">
        <v>187</v>
      </c>
      <c r="D100" s="90" t="s">
        <v>112</v>
      </c>
      <c r="E100" s="90" t="s">
        <v>648</v>
      </c>
      <c r="F100" s="90" t="s">
        <v>648</v>
      </c>
    </row>
    <row r="101" spans="2:6" ht="24">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4">
      <c r="B110" s="88">
        <v>197</v>
      </c>
      <c r="D110" s="90" t="s">
        <v>429</v>
      </c>
      <c r="E110" s="90" t="s">
        <v>654</v>
      </c>
      <c r="F110" s="90" t="s">
        <v>654</v>
      </c>
    </row>
    <row r="111" spans="2:6" ht="24">
      <c r="B111" s="88">
        <v>198</v>
      </c>
      <c r="D111" s="90" t="s">
        <v>117</v>
      </c>
      <c r="E111" s="90" t="s">
        <v>655</v>
      </c>
      <c r="F111" s="90" t="s">
        <v>655</v>
      </c>
    </row>
    <row r="112" spans="2:6">
      <c r="B112" s="88">
        <v>199</v>
      </c>
      <c r="D112" s="90" t="s">
        <v>1347</v>
      </c>
      <c r="E112" s="90" t="s">
        <v>1357</v>
      </c>
      <c r="F112" s="90" t="s">
        <v>1357</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4">
      <c r="B121" s="88">
        <v>208</v>
      </c>
      <c r="D121" s="90" t="s">
        <v>121</v>
      </c>
      <c r="E121" s="90" t="s">
        <v>659</v>
      </c>
      <c r="F121" s="90" t="s">
        <v>659</v>
      </c>
    </row>
    <row r="122" spans="2:6" ht="24">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1397</v>
      </c>
      <c r="E157" s="90" t="s">
        <v>682</v>
      </c>
      <c r="F157" s="90" t="s">
        <v>682</v>
      </c>
    </row>
    <row r="158" spans="2:6">
      <c r="B158" s="88">
        <v>245</v>
      </c>
      <c r="D158" s="90" t="s">
        <v>1398</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1419</v>
      </c>
      <c r="E166" s="90" t="s">
        <v>1362</v>
      </c>
      <c r="F166" s="90" t="s">
        <v>1362</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4">
      <c r="B175" s="88">
        <v>262</v>
      </c>
      <c r="D175" s="90" t="s">
        <v>1071</v>
      </c>
      <c r="E175" s="90" t="s">
        <v>1073</v>
      </c>
      <c r="F175" s="90" t="s">
        <v>1073</v>
      </c>
    </row>
    <row r="176" spans="2:6" ht="24">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4">
      <c r="B184" s="88">
        <v>271</v>
      </c>
      <c r="D184" s="90" t="s">
        <v>144</v>
      </c>
      <c r="E184" s="90" t="s">
        <v>697</v>
      </c>
      <c r="F184" s="90" t="s">
        <v>697</v>
      </c>
    </row>
    <row r="185" spans="2:6" ht="36">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4">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1351</v>
      </c>
      <c r="E205" s="90" t="s">
        <v>1352</v>
      </c>
      <c r="F205" s="90" t="s">
        <v>1352</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1383</v>
      </c>
      <c r="E215" s="179" t="s">
        <v>1174</v>
      </c>
      <c r="F215" s="179" t="s">
        <v>1174</v>
      </c>
    </row>
    <row r="216" spans="2:6">
      <c r="B216" s="88">
        <v>303</v>
      </c>
      <c r="C216" s="89" t="s">
        <v>1143</v>
      </c>
      <c r="D216" s="179" t="s">
        <v>1182</v>
      </c>
      <c r="E216" s="179" t="s">
        <v>1144</v>
      </c>
      <c r="F216" s="179" t="s">
        <v>1144</v>
      </c>
    </row>
    <row r="217" spans="2:6">
      <c r="B217" s="88">
        <v>304</v>
      </c>
      <c r="C217" s="89" t="s">
        <v>1143</v>
      </c>
      <c r="D217" s="179" t="s">
        <v>1386</v>
      </c>
      <c r="E217" s="179" t="s">
        <v>1153</v>
      </c>
      <c r="F217" s="179" t="s">
        <v>1153</v>
      </c>
    </row>
    <row r="218" spans="2:6">
      <c r="B218" s="88">
        <v>305</v>
      </c>
      <c r="C218" s="89" t="s">
        <v>1143</v>
      </c>
      <c r="D218" s="179" t="s">
        <v>1224</v>
      </c>
      <c r="E218" s="179" t="s">
        <v>1225</v>
      </c>
      <c r="F218" s="179" t="s">
        <v>1225</v>
      </c>
    </row>
    <row r="219" spans="2:6">
      <c r="B219" s="88">
        <v>305</v>
      </c>
      <c r="C219" s="89" t="s">
        <v>1143</v>
      </c>
      <c r="D219" s="179" t="s">
        <v>1384</v>
      </c>
      <c r="E219" s="179" t="s">
        <v>1385</v>
      </c>
      <c r="F219" s="179" t="s">
        <v>1385</v>
      </c>
    </row>
    <row r="220" spans="2:6">
      <c r="B220" s="88">
        <v>306</v>
      </c>
      <c r="C220" s="89" t="s">
        <v>1143</v>
      </c>
      <c r="D220" s="179" t="s">
        <v>1373</v>
      </c>
      <c r="E220" s="179" t="s">
        <v>1374</v>
      </c>
      <c r="F220" s="179" t="s">
        <v>1374</v>
      </c>
    </row>
    <row r="221" spans="2:6">
      <c r="B221" s="88">
        <v>307</v>
      </c>
      <c r="C221" s="89" t="s">
        <v>1143</v>
      </c>
      <c r="D221" s="179" t="s">
        <v>1375</v>
      </c>
      <c r="E221" s="179" t="s">
        <v>1376</v>
      </c>
      <c r="F221" s="179" t="s">
        <v>1376</v>
      </c>
    </row>
    <row r="222" spans="2:6">
      <c r="B222" s="88">
        <v>308</v>
      </c>
      <c r="C222" s="89" t="s">
        <v>1143</v>
      </c>
      <c r="D222" s="179" t="s">
        <v>1377</v>
      </c>
      <c r="E222" s="179" t="s">
        <v>1378</v>
      </c>
      <c r="F222" s="179" t="s">
        <v>1378</v>
      </c>
    </row>
    <row r="223" spans="2:6">
      <c r="B223" s="88">
        <v>309</v>
      </c>
      <c r="C223" s="89" t="s">
        <v>1143</v>
      </c>
      <c r="D223" s="179" t="s">
        <v>1379</v>
      </c>
      <c r="E223" s="179" t="s">
        <v>1380</v>
      </c>
      <c r="F223" s="179" t="s">
        <v>1380</v>
      </c>
    </row>
    <row r="224" spans="2:6">
      <c r="B224" s="88">
        <v>310</v>
      </c>
      <c r="C224" s="89" t="s">
        <v>1143</v>
      </c>
      <c r="D224" s="179" t="s">
        <v>1381</v>
      </c>
      <c r="E224" s="179" t="s">
        <v>1387</v>
      </c>
      <c r="F224" s="179" t="s">
        <v>1387</v>
      </c>
    </row>
    <row r="225" spans="2:6">
      <c r="B225" s="88">
        <v>311</v>
      </c>
      <c r="C225" s="89" t="s">
        <v>1143</v>
      </c>
      <c r="D225" s="179" t="s">
        <v>1382</v>
      </c>
      <c r="E225" s="179" t="s">
        <v>1388</v>
      </c>
      <c r="F225" s="179" t="s">
        <v>1388</v>
      </c>
    </row>
    <row r="226" spans="2:6">
      <c r="B226" s="88">
        <v>312</v>
      </c>
      <c r="C226" s="89" t="s">
        <v>1143</v>
      </c>
      <c r="D226" s="179" t="s">
        <v>1216</v>
      </c>
      <c r="E226" s="179" t="s">
        <v>1389</v>
      </c>
      <c r="F226" s="179" t="s">
        <v>1389</v>
      </c>
    </row>
    <row r="227" spans="2:6">
      <c r="B227" s="88">
        <v>313</v>
      </c>
      <c r="C227" s="89" t="s">
        <v>1143</v>
      </c>
      <c r="D227" s="179" t="s">
        <v>1217</v>
      </c>
      <c r="E227" s="179" t="s">
        <v>1390</v>
      </c>
      <c r="F227" s="179" t="s">
        <v>1390</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4">
      <c r="B233" s="88">
        <v>319</v>
      </c>
      <c r="D233" s="90" t="s">
        <v>162</v>
      </c>
      <c r="E233" s="90" t="s">
        <v>719</v>
      </c>
      <c r="F233" s="90" t="s">
        <v>719</v>
      </c>
    </row>
    <row r="234" spans="2:6" ht="24">
      <c r="B234" s="88">
        <v>320</v>
      </c>
      <c r="D234" s="90" t="s">
        <v>163</v>
      </c>
      <c r="E234" s="90" t="s">
        <v>720</v>
      </c>
      <c r="F234" s="90" t="s">
        <v>720</v>
      </c>
    </row>
    <row r="235" spans="2:6" ht="24">
      <c r="B235" s="88">
        <v>321</v>
      </c>
      <c r="D235" s="90" t="s">
        <v>164</v>
      </c>
      <c r="E235" s="90" t="s">
        <v>721</v>
      </c>
      <c r="F235" s="90" t="s">
        <v>721</v>
      </c>
    </row>
    <row r="236" spans="2:6" ht="24">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4">
      <c r="B247" s="88">
        <v>333</v>
      </c>
      <c r="D247" s="90" t="s">
        <v>170</v>
      </c>
      <c r="E247" s="90" t="s">
        <v>727</v>
      </c>
      <c r="F247" s="90" t="s">
        <v>727</v>
      </c>
    </row>
    <row r="248" spans="2:6" ht="24">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4">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4">
      <c r="B262" s="88">
        <v>348</v>
      </c>
      <c r="C262" s="89" t="s">
        <v>1143</v>
      </c>
      <c r="D262" s="90" t="s">
        <v>1190</v>
      </c>
      <c r="E262" s="90" t="s">
        <v>1151</v>
      </c>
      <c r="F262" s="90" t="s">
        <v>1151</v>
      </c>
    </row>
    <row r="263" spans="2:6" ht="24">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4">
      <c r="B271" s="88">
        <v>357</v>
      </c>
      <c r="C271" s="89" t="s">
        <v>1143</v>
      </c>
      <c r="D271" s="90" t="s">
        <v>1189</v>
      </c>
      <c r="E271" s="90" t="s">
        <v>1188</v>
      </c>
      <c r="F271" s="90" t="s">
        <v>1188</v>
      </c>
    </row>
    <row r="272" spans="2:6" ht="36">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4">
      <c r="B299" s="88">
        <v>385</v>
      </c>
      <c r="D299" s="90" t="s">
        <v>196</v>
      </c>
      <c r="E299" s="90" t="s">
        <v>757</v>
      </c>
      <c r="F299" s="90" t="s">
        <v>757</v>
      </c>
    </row>
    <row r="300" spans="2:6">
      <c r="B300" s="88">
        <v>386</v>
      </c>
      <c r="D300" s="90" t="s">
        <v>1346</v>
      </c>
      <c r="E300" s="90" t="s">
        <v>1358</v>
      </c>
      <c r="F300" s="90" t="s">
        <v>1358</v>
      </c>
    </row>
    <row r="301" spans="2:6" ht="24">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36">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4">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4">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4">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4">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1355</v>
      </c>
      <c r="E372" s="90" t="s">
        <v>1354</v>
      </c>
      <c r="F372" s="90" t="s">
        <v>1354</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4">
      <c r="B376" s="88">
        <v>462</v>
      </c>
      <c r="D376" s="90" t="s">
        <v>1338</v>
      </c>
      <c r="E376" s="90" t="s">
        <v>805</v>
      </c>
      <c r="F376" s="90" t="s">
        <v>805</v>
      </c>
    </row>
    <row r="377" spans="2:6" ht="24">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4">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36">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1363</v>
      </c>
      <c r="E390" s="90" t="s">
        <v>1364</v>
      </c>
      <c r="F390" s="90" t="s">
        <v>1364</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4">
      <c r="B395" s="88">
        <v>481</v>
      </c>
      <c r="D395" s="90" t="s">
        <v>252</v>
      </c>
      <c r="E395" s="90" t="s">
        <v>816</v>
      </c>
      <c r="F395" s="90" t="s">
        <v>816</v>
      </c>
    </row>
    <row r="396" spans="2:6">
      <c r="B396" s="88">
        <v>482</v>
      </c>
      <c r="D396" s="90" t="s">
        <v>1361</v>
      </c>
      <c r="E396" s="90" t="s">
        <v>1353</v>
      </c>
      <c r="F396" s="90" t="s">
        <v>1353</v>
      </c>
    </row>
    <row r="397" spans="2:6">
      <c r="B397" s="88">
        <v>483</v>
      </c>
      <c r="D397" s="90" t="s">
        <v>1359</v>
      </c>
      <c r="E397" s="90" t="s">
        <v>1348</v>
      </c>
      <c r="F397" s="90" t="s">
        <v>1348</v>
      </c>
    </row>
    <row r="398" spans="2:6">
      <c r="B398" s="88">
        <v>484</v>
      </c>
      <c r="D398" s="90" t="s">
        <v>1360</v>
      </c>
      <c r="E398" s="90" t="s">
        <v>1349</v>
      </c>
      <c r="F398" s="90" t="s">
        <v>1349</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1417</v>
      </c>
      <c r="E406" s="90" t="s">
        <v>1155</v>
      </c>
      <c r="F406" s="90" t="s">
        <v>1155</v>
      </c>
    </row>
    <row r="407" spans="2:6">
      <c r="B407" s="88">
        <v>493</v>
      </c>
      <c r="D407" s="90" t="s">
        <v>257</v>
      </c>
      <c r="E407" s="90" t="s">
        <v>820</v>
      </c>
      <c r="F407" s="90" t="s">
        <v>820</v>
      </c>
    </row>
    <row r="408" spans="2:6" ht="48">
      <c r="B408" s="88">
        <v>494</v>
      </c>
      <c r="D408" s="90" t="s">
        <v>258</v>
      </c>
      <c r="E408" s="90" t="s">
        <v>821</v>
      </c>
      <c r="F408" s="90" t="s">
        <v>821</v>
      </c>
    </row>
    <row r="409" spans="2:6">
      <c r="B409" s="88">
        <v>495</v>
      </c>
      <c r="D409" s="90" t="s">
        <v>259</v>
      </c>
      <c r="E409" s="90" t="s">
        <v>822</v>
      </c>
      <c r="F409" s="90" t="s">
        <v>822</v>
      </c>
    </row>
    <row r="410" spans="2:6" ht="24">
      <c r="B410" s="88">
        <v>496</v>
      </c>
      <c r="D410" s="90" t="s">
        <v>260</v>
      </c>
      <c r="E410" s="90" t="s">
        <v>823</v>
      </c>
      <c r="F410" s="90" t="s">
        <v>823</v>
      </c>
    </row>
    <row r="411" spans="2:6" ht="24">
      <c r="B411" s="88">
        <v>497</v>
      </c>
      <c r="D411" s="90" t="s">
        <v>261</v>
      </c>
      <c r="E411" s="90" t="s">
        <v>824</v>
      </c>
      <c r="F411" s="90" t="s">
        <v>824</v>
      </c>
    </row>
    <row r="412" spans="2:6" ht="24">
      <c r="B412" s="88">
        <v>498</v>
      </c>
      <c r="D412" s="90" t="s">
        <v>262</v>
      </c>
      <c r="E412" s="90" t="s">
        <v>825</v>
      </c>
      <c r="F412" s="90" t="s">
        <v>825</v>
      </c>
    </row>
    <row r="413" spans="2:6" ht="24">
      <c r="B413" s="88">
        <v>499</v>
      </c>
      <c r="D413" s="90" t="s">
        <v>263</v>
      </c>
      <c r="E413" s="90" t="s">
        <v>826</v>
      </c>
      <c r="F413" s="90" t="s">
        <v>826</v>
      </c>
    </row>
    <row r="414" spans="2:6" ht="24">
      <c r="B414" s="88">
        <v>500</v>
      </c>
      <c r="D414" s="90" t="s">
        <v>264</v>
      </c>
      <c r="E414" s="90" t="s">
        <v>827</v>
      </c>
      <c r="F414" s="90" t="s">
        <v>827</v>
      </c>
    </row>
    <row r="415" spans="2:6" ht="24">
      <c r="B415" s="88">
        <v>501</v>
      </c>
      <c r="D415" s="90" t="s">
        <v>265</v>
      </c>
      <c r="E415" s="90" t="s">
        <v>828</v>
      </c>
      <c r="F415" s="90" t="s">
        <v>828</v>
      </c>
    </row>
    <row r="416" spans="2:6" ht="24">
      <c r="B416" s="88">
        <v>502</v>
      </c>
      <c r="D416" s="90" t="s">
        <v>266</v>
      </c>
      <c r="E416" s="90" t="s">
        <v>829</v>
      </c>
      <c r="F416" s="90" t="s">
        <v>829</v>
      </c>
    </row>
    <row r="417" spans="2:6" ht="24">
      <c r="B417" s="88">
        <v>503</v>
      </c>
      <c r="D417" s="90" t="s">
        <v>267</v>
      </c>
      <c r="E417" s="90" t="s">
        <v>830</v>
      </c>
      <c r="F417" s="90" t="s">
        <v>830</v>
      </c>
    </row>
    <row r="418" spans="2:6" ht="24">
      <c r="B418" s="88">
        <v>504</v>
      </c>
      <c r="D418" s="90" t="s">
        <v>268</v>
      </c>
      <c r="E418" s="90" t="s">
        <v>831</v>
      </c>
      <c r="F418" s="90" t="s">
        <v>831</v>
      </c>
    </row>
    <row r="419" spans="2:6" ht="24">
      <c r="B419" s="88">
        <v>505</v>
      </c>
      <c r="D419" s="90" t="s">
        <v>269</v>
      </c>
      <c r="E419" s="90" t="s">
        <v>832</v>
      </c>
      <c r="F419" s="90" t="s">
        <v>832</v>
      </c>
    </row>
    <row r="420" spans="2:6" ht="24">
      <c r="B420" s="88">
        <v>506</v>
      </c>
      <c r="D420" s="90" t="s">
        <v>270</v>
      </c>
      <c r="E420" s="90" t="s">
        <v>833</v>
      </c>
      <c r="F420" s="90" t="s">
        <v>833</v>
      </c>
    </row>
    <row r="421" spans="2:6" ht="24">
      <c r="B421" s="88">
        <v>507</v>
      </c>
      <c r="D421" s="90" t="s">
        <v>271</v>
      </c>
      <c r="E421" s="90" t="s">
        <v>834</v>
      </c>
      <c r="F421" s="90" t="s">
        <v>834</v>
      </c>
    </row>
    <row r="422" spans="2:6" ht="24">
      <c r="B422" s="88">
        <v>508</v>
      </c>
      <c r="D422" s="90" t="s">
        <v>272</v>
      </c>
      <c r="E422" s="90" t="s">
        <v>835</v>
      </c>
      <c r="F422" s="90" t="s">
        <v>835</v>
      </c>
    </row>
    <row r="423" spans="2:6" ht="24">
      <c r="B423" s="88">
        <v>509</v>
      </c>
      <c r="D423" s="90" t="s">
        <v>273</v>
      </c>
      <c r="E423" s="90" t="s">
        <v>836</v>
      </c>
      <c r="F423" s="90" t="s">
        <v>836</v>
      </c>
    </row>
    <row r="424" spans="2:6" ht="24">
      <c r="B424" s="88">
        <v>510</v>
      </c>
      <c r="D424" s="90" t="s">
        <v>274</v>
      </c>
      <c r="E424" s="90" t="s">
        <v>837</v>
      </c>
      <c r="F424" s="90" t="s">
        <v>837</v>
      </c>
    </row>
    <row r="425" spans="2:6" ht="24">
      <c r="B425" s="88">
        <v>511</v>
      </c>
      <c r="D425" s="90" t="s">
        <v>275</v>
      </c>
      <c r="E425" s="90" t="s">
        <v>838</v>
      </c>
      <c r="F425" s="90" t="s">
        <v>838</v>
      </c>
    </row>
    <row r="426" spans="2:6" ht="24">
      <c r="B426" s="88">
        <v>512</v>
      </c>
      <c r="D426" s="90" t="s">
        <v>276</v>
      </c>
      <c r="E426" s="90" t="s">
        <v>839</v>
      </c>
      <c r="F426" s="90" t="s">
        <v>839</v>
      </c>
    </row>
    <row r="427" spans="2:6" ht="24">
      <c r="B427" s="88">
        <v>513</v>
      </c>
      <c r="D427" s="90" t="s">
        <v>277</v>
      </c>
      <c r="E427" s="90" t="s">
        <v>840</v>
      </c>
      <c r="F427" s="90" t="s">
        <v>840</v>
      </c>
    </row>
    <row r="428" spans="2:6" ht="24">
      <c r="B428" s="88">
        <v>514</v>
      </c>
      <c r="D428" s="90" t="s">
        <v>278</v>
      </c>
      <c r="E428" s="90" t="s">
        <v>841</v>
      </c>
      <c r="F428" s="90" t="s">
        <v>841</v>
      </c>
    </row>
    <row r="429" spans="2:6" ht="24">
      <c r="B429" s="88">
        <v>515</v>
      </c>
      <c r="D429" s="90" t="s">
        <v>279</v>
      </c>
      <c r="E429" s="90" t="s">
        <v>842</v>
      </c>
      <c r="F429" s="90" t="s">
        <v>842</v>
      </c>
    </row>
    <row r="430" spans="2:6" ht="24">
      <c r="B430" s="88">
        <v>516</v>
      </c>
      <c r="D430" s="90" t="s">
        <v>280</v>
      </c>
      <c r="E430" s="90" t="s">
        <v>843</v>
      </c>
      <c r="F430" s="90" t="s">
        <v>843</v>
      </c>
    </row>
    <row r="431" spans="2:6" ht="24">
      <c r="B431" s="88">
        <v>517</v>
      </c>
      <c r="D431" s="90" t="s">
        <v>471</v>
      </c>
      <c r="E431" s="90" t="s">
        <v>844</v>
      </c>
      <c r="F431" s="90" t="s">
        <v>844</v>
      </c>
    </row>
    <row r="432" spans="2:6" ht="24">
      <c r="B432" s="88">
        <v>518</v>
      </c>
      <c r="D432" s="90" t="s">
        <v>472</v>
      </c>
      <c r="E432" s="90" t="s">
        <v>844</v>
      </c>
      <c r="F432" s="90" t="s">
        <v>844</v>
      </c>
    </row>
    <row r="433" spans="1:27" ht="24">
      <c r="B433" s="88">
        <v>519</v>
      </c>
      <c r="D433" s="90" t="s">
        <v>281</v>
      </c>
      <c r="E433" s="90" t="s">
        <v>845</v>
      </c>
      <c r="F433" s="90" t="s">
        <v>845</v>
      </c>
    </row>
    <row r="434" spans="1:27" ht="24">
      <c r="B434" s="88">
        <v>520</v>
      </c>
      <c r="D434" s="90" t="s">
        <v>282</v>
      </c>
      <c r="E434" s="90" t="s">
        <v>846</v>
      </c>
      <c r="F434" s="90" t="s">
        <v>846</v>
      </c>
    </row>
    <row r="435" spans="1:27" ht="24">
      <c r="B435" s="88">
        <v>521</v>
      </c>
      <c r="D435" s="90" t="s">
        <v>283</v>
      </c>
      <c r="E435" s="90" t="s">
        <v>847</v>
      </c>
      <c r="F435" s="90" t="s">
        <v>847</v>
      </c>
    </row>
    <row r="436" spans="1:27" ht="24">
      <c r="B436" s="88">
        <v>522</v>
      </c>
      <c r="D436" s="90" t="s">
        <v>284</v>
      </c>
      <c r="E436" s="90" t="s">
        <v>848</v>
      </c>
      <c r="F436" s="90" t="s">
        <v>848</v>
      </c>
    </row>
    <row r="437" spans="1:27" ht="24">
      <c r="B437" s="88">
        <v>523</v>
      </c>
      <c r="D437" s="90" t="s">
        <v>473</v>
      </c>
      <c r="E437" s="90" t="s">
        <v>849</v>
      </c>
      <c r="F437" s="90" t="s">
        <v>849</v>
      </c>
    </row>
    <row r="438" spans="1:27" s="175" customFormat="1" ht="24">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4">
      <c r="B453" s="88">
        <v>539</v>
      </c>
      <c r="D453" s="90" t="s">
        <v>475</v>
      </c>
      <c r="E453" s="90" t="s">
        <v>865</v>
      </c>
      <c r="F453" s="90" t="s">
        <v>865</v>
      </c>
    </row>
    <row r="454" spans="1:27" ht="48">
      <c r="A454" s="175"/>
      <c r="B454" s="88">
        <v>540</v>
      </c>
      <c r="C454" s="181" t="s">
        <v>507</v>
      </c>
      <c r="D454" s="175" t="s">
        <v>523</v>
      </c>
      <c r="E454" s="175" t="s">
        <v>866</v>
      </c>
      <c r="F454" s="175" t="s">
        <v>866</v>
      </c>
    </row>
    <row r="455" spans="1:27" ht="36">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4">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4">
      <c r="B463" s="88">
        <v>549</v>
      </c>
      <c r="D463" s="90" t="s">
        <v>1271</v>
      </c>
      <c r="E463" s="90" t="s">
        <v>1272</v>
      </c>
      <c r="F463" s="90" t="s">
        <v>1272</v>
      </c>
    </row>
    <row r="464" spans="1:27">
      <c r="B464" s="88">
        <v>550</v>
      </c>
      <c r="D464" s="90" t="s">
        <v>1273</v>
      </c>
      <c r="E464" s="90" t="s">
        <v>1274</v>
      </c>
      <c r="F464" s="90" t="s">
        <v>1274</v>
      </c>
    </row>
    <row r="465" spans="2:6" ht="24">
      <c r="B465" s="88">
        <v>551</v>
      </c>
      <c r="D465" s="90" t="s">
        <v>306</v>
      </c>
      <c r="E465" s="90" t="s">
        <v>874</v>
      </c>
      <c r="F465" s="90" t="s">
        <v>874</v>
      </c>
    </row>
    <row r="466" spans="2:6">
      <c r="B466" s="88">
        <v>552</v>
      </c>
      <c r="D466" s="90" t="s">
        <v>476</v>
      </c>
      <c r="E466" s="90" t="s">
        <v>875</v>
      </c>
      <c r="F466" s="90" t="s">
        <v>875</v>
      </c>
    </row>
    <row r="467" spans="2:6" ht="24">
      <c r="B467" s="88">
        <v>553</v>
      </c>
      <c r="D467" s="90" t="s">
        <v>307</v>
      </c>
      <c r="E467" s="90" t="s">
        <v>876</v>
      </c>
      <c r="F467" s="90" t="s">
        <v>876</v>
      </c>
    </row>
    <row r="468" spans="2:6" ht="24">
      <c r="B468" s="88">
        <v>554</v>
      </c>
      <c r="D468" s="90" t="s">
        <v>477</v>
      </c>
      <c r="E468" s="90" t="s">
        <v>877</v>
      </c>
      <c r="F468" s="90" t="s">
        <v>877</v>
      </c>
    </row>
    <row r="469" spans="2:6" ht="24">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4">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36">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36">
      <c r="B481" s="88">
        <v>567</v>
      </c>
      <c r="D481" s="90" t="s">
        <v>317</v>
      </c>
      <c r="E481" s="90" t="s">
        <v>888</v>
      </c>
      <c r="F481" s="90" t="s">
        <v>888</v>
      </c>
    </row>
    <row r="482" spans="2:6" ht="24">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4">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36">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36">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4">
      <c r="B505" s="88">
        <v>591</v>
      </c>
      <c r="D505" s="90" t="s">
        <v>332</v>
      </c>
      <c r="E505" s="90" t="s">
        <v>908</v>
      </c>
      <c r="F505" s="90" t="s">
        <v>908</v>
      </c>
    </row>
    <row r="506" spans="1:6">
      <c r="B506" s="88">
        <v>592</v>
      </c>
      <c r="D506" s="90" t="s">
        <v>333</v>
      </c>
      <c r="E506" s="90" t="s">
        <v>909</v>
      </c>
      <c r="F506" s="90" t="s">
        <v>909</v>
      </c>
    </row>
    <row r="507" spans="1:6" ht="36">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4">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1342</v>
      </c>
      <c r="E529" s="90" t="s">
        <v>1344</v>
      </c>
      <c r="F529" s="90" t="s">
        <v>1344</v>
      </c>
    </row>
    <row r="530" spans="1:6">
      <c r="B530" s="88">
        <v>616</v>
      </c>
      <c r="D530" s="90" t="s">
        <v>1341</v>
      </c>
      <c r="E530" s="90" t="s">
        <v>1343</v>
      </c>
      <c r="F530" s="90" t="s">
        <v>1343</v>
      </c>
    </row>
    <row r="531" spans="1:6" ht="24">
      <c r="B531" s="88">
        <v>617</v>
      </c>
      <c r="C531" s="89" t="s">
        <v>1143</v>
      </c>
      <c r="D531" s="90" t="s">
        <v>1184</v>
      </c>
      <c r="E531" s="90" t="s">
        <v>1147</v>
      </c>
      <c r="F531" s="90" t="s">
        <v>1147</v>
      </c>
    </row>
    <row r="532" spans="1:6" ht="36">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4">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1391</v>
      </c>
      <c r="E546" s="90" t="s">
        <v>1392</v>
      </c>
      <c r="F546" s="90" t="s">
        <v>1392</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4">
      <c r="B551" s="88">
        <v>637</v>
      </c>
      <c r="C551" s="89" t="s">
        <v>1143</v>
      </c>
      <c r="D551" s="90" t="s">
        <v>1201</v>
      </c>
      <c r="E551" s="90" t="s">
        <v>1200</v>
      </c>
      <c r="F551" s="90" t="s">
        <v>1200</v>
      </c>
    </row>
    <row r="552" spans="2:6">
      <c r="B552" s="88">
        <v>638</v>
      </c>
      <c r="D552" s="90" t="s">
        <v>357</v>
      </c>
      <c r="E552" s="90" t="s">
        <v>932</v>
      </c>
      <c r="F552" s="90" t="s">
        <v>932</v>
      </c>
    </row>
    <row r="553" spans="2:6" ht="36">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4">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1143</v>
      </c>
      <c r="D565" s="90" t="s">
        <v>1202</v>
      </c>
      <c r="E565" s="90" t="s">
        <v>1165</v>
      </c>
      <c r="F565" s="90" t="s">
        <v>1165</v>
      </c>
    </row>
    <row r="566" spans="2:27" ht="24">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1408</v>
      </c>
      <c r="E576" s="90" t="s">
        <v>1393</v>
      </c>
      <c r="F576" s="90" t="s">
        <v>1393</v>
      </c>
    </row>
    <row r="577" spans="2:6">
      <c r="B577" s="88">
        <v>663</v>
      </c>
      <c r="D577" s="90" t="s">
        <v>1409</v>
      </c>
      <c r="E577" s="90" t="s">
        <v>1394</v>
      </c>
      <c r="F577" s="90" t="s">
        <v>1394</v>
      </c>
    </row>
    <row r="578" spans="2:6">
      <c r="B578" s="88">
        <v>664</v>
      </c>
      <c r="D578" s="90" t="s">
        <v>1395</v>
      </c>
      <c r="E578" s="90" t="s">
        <v>1396</v>
      </c>
      <c r="F578" s="90" t="s">
        <v>1396</v>
      </c>
    </row>
    <row r="579" spans="2:6">
      <c r="B579" s="88">
        <v>665</v>
      </c>
      <c r="D579" s="90" t="s">
        <v>1405</v>
      </c>
      <c r="E579" s="90" t="s">
        <v>1406</v>
      </c>
      <c r="F579" s="90" t="s">
        <v>1406</v>
      </c>
    </row>
    <row r="580" spans="2:6">
      <c r="B580" s="88">
        <v>666</v>
      </c>
      <c r="D580" s="90" t="s">
        <v>1399</v>
      </c>
      <c r="E580" s="90" t="s">
        <v>1402</v>
      </c>
      <c r="F580" s="90" t="s">
        <v>1402</v>
      </c>
    </row>
    <row r="581" spans="2:6">
      <c r="B581" s="88">
        <v>667</v>
      </c>
      <c r="D581" s="90" t="s">
        <v>1400</v>
      </c>
      <c r="E581" s="90" t="s">
        <v>1403</v>
      </c>
      <c r="F581" s="90" t="s">
        <v>1403</v>
      </c>
    </row>
    <row r="582" spans="2:6">
      <c r="B582" s="88">
        <v>667</v>
      </c>
      <c r="D582" s="90" t="s">
        <v>1401</v>
      </c>
      <c r="E582" s="90" t="s">
        <v>1404</v>
      </c>
      <c r="F582" s="90" t="s">
        <v>1404</v>
      </c>
    </row>
    <row r="583" spans="2:6">
      <c r="B583" s="88">
        <v>667</v>
      </c>
      <c r="D583" s="90" t="s">
        <v>1413</v>
      </c>
      <c r="E583" s="90" t="s">
        <v>1412</v>
      </c>
      <c r="F583" s="90" t="s">
        <v>1412</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t="s">
        <v>1104</v>
      </c>
      <c r="B2" s="131" t="s">
        <v>1098</v>
      </c>
      <c r="C2" s="131" t="s">
        <v>1023</v>
      </c>
      <c r="D2" s="131" t="s">
        <v>1097</v>
      </c>
      <c r="E2" s="131" t="s">
        <v>1098</v>
      </c>
      <c r="M2" s="131" t="s">
        <v>1495</v>
      </c>
      <c r="N2" s="131" t="s">
        <v>1334</v>
      </c>
      <c r="O2" s="127">
        <v>44336</v>
      </c>
      <c r="P2" s="127">
        <v>44337</v>
      </c>
      <c r="Q2" s="127">
        <v>44336</v>
      </c>
      <c r="R2" s="127">
        <v>44338</v>
      </c>
      <c r="S2" s="128">
        <v>21</v>
      </c>
      <c r="T2" s="128">
        <v>1</v>
      </c>
      <c r="U2" s="128">
        <v>2</v>
      </c>
      <c r="V2" s="129">
        <v>2</v>
      </c>
      <c r="W2" s="128">
        <v>0</v>
      </c>
      <c r="X2" s="130">
        <v>1</v>
      </c>
      <c r="Y2" s="130">
        <v>1</v>
      </c>
      <c r="Z2" s="130">
        <v>1</v>
      </c>
      <c r="AC2" s="129">
        <v>0</v>
      </c>
    </row>
    <row r="3" spans="1:30">
      <c r="A3" s="131" t="s">
        <v>1104</v>
      </c>
      <c r="B3" s="131" t="s">
        <v>1098</v>
      </c>
      <c r="C3" s="131" t="s">
        <v>1023</v>
      </c>
      <c r="D3" s="131" t="s">
        <v>1097</v>
      </c>
      <c r="E3" s="131" t="s">
        <v>1098</v>
      </c>
      <c r="M3" s="131" t="s">
        <v>1495</v>
      </c>
      <c r="N3" s="131" t="s">
        <v>1336</v>
      </c>
      <c r="O3" s="127">
        <v>44336</v>
      </c>
      <c r="P3" s="127">
        <v>44337</v>
      </c>
      <c r="Q3" s="127">
        <v>44336</v>
      </c>
      <c r="R3" s="127">
        <v>44338</v>
      </c>
      <c r="S3" s="128">
        <v>21</v>
      </c>
      <c r="T3" s="128">
        <v>1</v>
      </c>
      <c r="U3" s="128">
        <v>2</v>
      </c>
      <c r="V3" s="129">
        <v>2</v>
      </c>
      <c r="W3" s="128">
        <v>0</v>
      </c>
      <c r="X3" s="130">
        <v>1</v>
      </c>
      <c r="Y3" s="130">
        <v>1</v>
      </c>
      <c r="Z3" s="130">
        <v>1</v>
      </c>
      <c r="AC3" s="129">
        <v>0</v>
      </c>
    </row>
    <row r="4" spans="1:30">
      <c r="A4" s="131" t="s">
        <v>1105</v>
      </c>
      <c r="B4" s="131" t="s">
        <v>1496</v>
      </c>
      <c r="C4" s="131" t="s">
        <v>1023</v>
      </c>
      <c r="D4" s="131" t="s">
        <v>1097</v>
      </c>
      <c r="E4" s="131" t="s">
        <v>1099</v>
      </c>
      <c r="F4" s="131" t="s">
        <v>1496</v>
      </c>
      <c r="M4" s="131" t="s">
        <v>1497</v>
      </c>
      <c r="N4" s="131" t="s">
        <v>1334</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1105</v>
      </c>
      <c r="B5" s="131" t="s">
        <v>1496</v>
      </c>
      <c r="C5" s="131" t="s">
        <v>1023</v>
      </c>
      <c r="D5" s="131" t="s">
        <v>1097</v>
      </c>
      <c r="E5" s="131" t="s">
        <v>1099</v>
      </c>
      <c r="F5" s="131" t="s">
        <v>1496</v>
      </c>
      <c r="M5" s="131" t="s">
        <v>1497</v>
      </c>
      <c r="N5" s="131" t="s">
        <v>1334</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1105</v>
      </c>
      <c r="B6" s="131" t="s">
        <v>1496</v>
      </c>
      <c r="C6" s="131" t="s">
        <v>1023</v>
      </c>
      <c r="D6" s="131" t="s">
        <v>1097</v>
      </c>
      <c r="E6" s="131" t="s">
        <v>1099</v>
      </c>
      <c r="F6" s="131" t="s">
        <v>1496</v>
      </c>
      <c r="M6" s="131" t="s">
        <v>1497</v>
      </c>
      <c r="N6" s="131" t="s">
        <v>1334</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1105</v>
      </c>
      <c r="B7" s="131" t="s">
        <v>1498</v>
      </c>
      <c r="C7" s="131" t="s">
        <v>1023</v>
      </c>
      <c r="D7" s="131" t="s">
        <v>1097</v>
      </c>
      <c r="E7" s="131" t="s">
        <v>1099</v>
      </c>
      <c r="F7" s="131" t="s">
        <v>1498</v>
      </c>
      <c r="M7" s="131" t="s">
        <v>1499</v>
      </c>
      <c r="N7" s="131" t="s">
        <v>1334</v>
      </c>
      <c r="O7" s="127">
        <v>44358</v>
      </c>
      <c r="P7" s="127">
        <v>44358</v>
      </c>
      <c r="Q7" s="127">
        <v>44353</v>
      </c>
      <c r="R7" s="127">
        <v>44359</v>
      </c>
      <c r="S7" s="128">
        <v>24</v>
      </c>
      <c r="T7" s="128">
        <v>4</v>
      </c>
      <c r="U7" s="128">
        <v>0</v>
      </c>
      <c r="V7" s="129">
        <v>0</v>
      </c>
      <c r="W7" s="128">
        <v>0</v>
      </c>
      <c r="X7" s="130">
        <v>0</v>
      </c>
      <c r="Y7" s="130">
        <v>0</v>
      </c>
      <c r="Z7" s="130">
        <v>0</v>
      </c>
      <c r="AC7" s="129">
        <v>0</v>
      </c>
    </row>
    <row r="8" spans="1:30">
      <c r="A8" s="131" t="s">
        <v>1104</v>
      </c>
      <c r="B8" s="131" t="s">
        <v>1101</v>
      </c>
      <c r="C8" s="131" t="s">
        <v>1023</v>
      </c>
      <c r="D8" s="131" t="s">
        <v>1100</v>
      </c>
      <c r="E8" s="131" t="s">
        <v>1101</v>
      </c>
      <c r="M8" s="131" t="s">
        <v>1500</v>
      </c>
      <c r="N8" s="131" t="s">
        <v>1571</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1104</v>
      </c>
      <c r="B9" s="131" t="s">
        <v>1101</v>
      </c>
      <c r="C9" s="131" t="s">
        <v>1023</v>
      </c>
      <c r="D9" s="131" t="s">
        <v>1100</v>
      </c>
      <c r="E9" s="131" t="s">
        <v>1101</v>
      </c>
      <c r="M9" s="131" t="s">
        <v>1500</v>
      </c>
      <c r="N9" s="131" t="s">
        <v>1571</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1104</v>
      </c>
      <c r="B10" s="131" t="s">
        <v>1101</v>
      </c>
      <c r="C10" s="131" t="s">
        <v>1023</v>
      </c>
      <c r="D10" s="131" t="s">
        <v>1100</v>
      </c>
      <c r="E10" s="131" t="s">
        <v>1101</v>
      </c>
      <c r="M10" s="131" t="s">
        <v>1500</v>
      </c>
      <c r="N10" s="131" t="s">
        <v>1571</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1104</v>
      </c>
      <c r="B11" s="131" t="s">
        <v>1101</v>
      </c>
      <c r="C11" s="131" t="s">
        <v>1023</v>
      </c>
      <c r="D11" s="131" t="s">
        <v>1100</v>
      </c>
      <c r="E11" s="131" t="s">
        <v>1101</v>
      </c>
      <c r="M11" s="131" t="s">
        <v>1500</v>
      </c>
      <c r="N11" s="131" t="s">
        <v>1571</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1104</v>
      </c>
      <c r="B12" s="131" t="s">
        <v>1101</v>
      </c>
      <c r="C12" s="131" t="s">
        <v>1023</v>
      </c>
      <c r="D12" s="131" t="s">
        <v>1100</v>
      </c>
      <c r="E12" s="131" t="s">
        <v>1101</v>
      </c>
      <c r="M12" s="131" t="s">
        <v>1500</v>
      </c>
      <c r="N12" s="131" t="s">
        <v>1571</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1104</v>
      </c>
      <c r="B13" s="131" t="s">
        <v>1122</v>
      </c>
      <c r="C13" s="131" t="s">
        <v>1023</v>
      </c>
      <c r="D13" s="131" t="s">
        <v>1100</v>
      </c>
      <c r="E13" s="131" t="s">
        <v>1122</v>
      </c>
      <c r="M13" s="131" t="s">
        <v>1501</v>
      </c>
      <c r="N13" s="131" t="s">
        <v>1571</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1104</v>
      </c>
      <c r="B14" s="131" t="s">
        <v>1502</v>
      </c>
      <c r="C14" s="131" t="s">
        <v>1023</v>
      </c>
      <c r="D14" s="131" t="s">
        <v>1100</v>
      </c>
      <c r="E14" s="131" t="s">
        <v>1502</v>
      </c>
      <c r="M14" s="131" t="s">
        <v>1503</v>
      </c>
      <c r="N14" s="131" t="s">
        <v>1571</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1104</v>
      </c>
      <c r="B15" s="131" t="s">
        <v>1502</v>
      </c>
      <c r="C15" s="131" t="s">
        <v>1023</v>
      </c>
      <c r="D15" s="131" t="s">
        <v>1100</v>
      </c>
      <c r="E15" s="131" t="s">
        <v>1502</v>
      </c>
      <c r="M15" s="131" t="s">
        <v>1503</v>
      </c>
      <c r="N15" s="131" t="s">
        <v>1571</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1104</v>
      </c>
      <c r="B16" s="131" t="s">
        <v>1502</v>
      </c>
      <c r="C16" s="131" t="s">
        <v>1023</v>
      </c>
      <c r="D16" s="131" t="s">
        <v>1100</v>
      </c>
      <c r="E16" s="131" t="s">
        <v>1502</v>
      </c>
      <c r="M16" s="131" t="s">
        <v>1503</v>
      </c>
      <c r="N16" s="131" t="s">
        <v>1571</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1104</v>
      </c>
      <c r="B17" s="131" t="s">
        <v>1502</v>
      </c>
      <c r="C17" s="131" t="s">
        <v>1023</v>
      </c>
      <c r="D17" s="131" t="s">
        <v>1100</v>
      </c>
      <c r="E17" s="131" t="s">
        <v>1502</v>
      </c>
      <c r="M17" s="131" t="s">
        <v>1503</v>
      </c>
      <c r="N17" s="131" t="s">
        <v>1571</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1104</v>
      </c>
      <c r="B18" s="131" t="s">
        <v>1502</v>
      </c>
      <c r="C18" s="131" t="s">
        <v>1023</v>
      </c>
      <c r="D18" s="131" t="s">
        <v>1100</v>
      </c>
      <c r="E18" s="131" t="s">
        <v>1502</v>
      </c>
      <c r="M18" s="131" t="s">
        <v>1503</v>
      </c>
      <c r="N18" s="131" t="s">
        <v>1571</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1104</v>
      </c>
      <c r="B19" s="131" t="s">
        <v>1504</v>
      </c>
      <c r="C19" s="131" t="s">
        <v>1023</v>
      </c>
      <c r="D19" s="131" t="s">
        <v>1100</v>
      </c>
      <c r="E19" s="131" t="s">
        <v>1504</v>
      </c>
      <c r="M19" s="131" t="s">
        <v>1505</v>
      </c>
      <c r="N19" s="131" t="s">
        <v>1486</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1104</v>
      </c>
      <c r="B20" s="131" t="s">
        <v>1103</v>
      </c>
      <c r="C20" s="131" t="s">
        <v>1023</v>
      </c>
      <c r="D20" s="131" t="s">
        <v>1102</v>
      </c>
      <c r="E20" s="131" t="s">
        <v>1103</v>
      </c>
      <c r="M20" s="131" t="s">
        <v>1506</v>
      </c>
      <c r="N20" s="131" t="s">
        <v>1336</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1104</v>
      </c>
      <c r="B21" s="131" t="s">
        <v>1103</v>
      </c>
      <c r="C21" s="131" t="s">
        <v>1023</v>
      </c>
      <c r="D21" s="131" t="s">
        <v>1102</v>
      </c>
      <c r="E21" s="131" t="s">
        <v>1103</v>
      </c>
      <c r="M21" s="131" t="s">
        <v>1506</v>
      </c>
      <c r="N21" s="131" t="s">
        <v>1334</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1104</v>
      </c>
      <c r="B22" s="131" t="s">
        <v>1103</v>
      </c>
      <c r="C22" s="131" t="s">
        <v>1023</v>
      </c>
      <c r="D22" s="131" t="s">
        <v>1102</v>
      </c>
      <c r="E22" s="131" t="s">
        <v>1103</v>
      </c>
      <c r="M22" s="131" t="s">
        <v>1506</v>
      </c>
      <c r="N22" s="131" t="s">
        <v>1336</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1104</v>
      </c>
      <c r="B23" s="131" t="s">
        <v>1103</v>
      </c>
      <c r="C23" s="131" t="s">
        <v>1023</v>
      </c>
      <c r="D23" s="131" t="s">
        <v>1102</v>
      </c>
      <c r="E23" s="131" t="s">
        <v>1103</v>
      </c>
      <c r="M23" s="131" t="s">
        <v>1506</v>
      </c>
      <c r="N23" s="131" t="s">
        <v>1334</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1104</v>
      </c>
      <c r="B24" s="131" t="s">
        <v>1123</v>
      </c>
      <c r="C24" s="131" t="s">
        <v>1023</v>
      </c>
      <c r="D24" s="131" t="s">
        <v>1102</v>
      </c>
      <c r="E24" s="131" t="s">
        <v>1123</v>
      </c>
      <c r="M24" s="131" t="s">
        <v>1507</v>
      </c>
      <c r="N24" s="131" t="s">
        <v>739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1104</v>
      </c>
      <c r="B25" s="131" t="s">
        <v>1123</v>
      </c>
      <c r="C25" s="131" t="s">
        <v>1023</v>
      </c>
      <c r="D25" s="131" t="s">
        <v>1102</v>
      </c>
      <c r="E25" s="131" t="s">
        <v>1123</v>
      </c>
      <c r="M25" s="131" t="s">
        <v>1507</v>
      </c>
      <c r="N25" s="131" t="s">
        <v>739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1104</v>
      </c>
      <c r="B26" s="131" t="s">
        <v>1123</v>
      </c>
      <c r="C26" s="131" t="s">
        <v>1023</v>
      </c>
      <c r="D26" s="131" t="s">
        <v>1102</v>
      </c>
      <c r="E26" s="131" t="s">
        <v>1123</v>
      </c>
      <c r="M26" s="131" t="s">
        <v>1507</v>
      </c>
      <c r="N26" s="131" t="s">
        <v>739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1104</v>
      </c>
      <c r="B27" s="131" t="s">
        <v>1123</v>
      </c>
      <c r="C27" s="131" t="s">
        <v>1023</v>
      </c>
      <c r="D27" s="131" t="s">
        <v>1102</v>
      </c>
      <c r="E27" s="131" t="s">
        <v>1123</v>
      </c>
      <c r="M27" s="131" t="s">
        <v>1507</v>
      </c>
      <c r="N27" s="131" t="s">
        <v>739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1104</v>
      </c>
      <c r="B28" s="131" t="s">
        <v>1508</v>
      </c>
      <c r="C28" s="131" t="s">
        <v>1023</v>
      </c>
      <c r="D28" s="131" t="s">
        <v>1102</v>
      </c>
      <c r="E28" s="131" t="s">
        <v>1508</v>
      </c>
      <c r="M28" s="131" t="s">
        <v>1509</v>
      </c>
      <c r="N28" s="131" t="s">
        <v>1370</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1104</v>
      </c>
      <c r="B29" s="131" t="s">
        <v>1508</v>
      </c>
      <c r="C29" s="131" t="s">
        <v>1023</v>
      </c>
      <c r="D29" s="131" t="s">
        <v>1102</v>
      </c>
      <c r="E29" s="131" t="s">
        <v>1508</v>
      </c>
      <c r="M29" s="131" t="s">
        <v>1509</v>
      </c>
      <c r="N29" s="131" t="s">
        <v>1371</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1104</v>
      </c>
      <c r="B30" s="131" t="s">
        <v>1510</v>
      </c>
      <c r="C30" s="131" t="s">
        <v>1023</v>
      </c>
      <c r="D30" s="131" t="s">
        <v>1102</v>
      </c>
      <c r="E30" s="131" t="s">
        <v>1510</v>
      </c>
      <c r="M30" s="131" t="s">
        <v>1511</v>
      </c>
      <c r="N30" s="131" t="s">
        <v>1486</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1104</v>
      </c>
      <c r="B31" s="131" t="s">
        <v>1512</v>
      </c>
      <c r="C31" s="131" t="s">
        <v>1087</v>
      </c>
      <c r="D31" s="131" t="s">
        <v>1564</v>
      </c>
      <c r="E31" s="131" t="s">
        <v>1512</v>
      </c>
      <c r="M31" s="131" t="s">
        <v>1513</v>
      </c>
      <c r="N31" s="131" t="s">
        <v>1486</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1104</v>
      </c>
      <c r="B32" s="131" t="s">
        <v>1512</v>
      </c>
      <c r="C32" s="131" t="s">
        <v>1087</v>
      </c>
      <c r="D32" s="131" t="s">
        <v>1564</v>
      </c>
      <c r="E32" s="131" t="s">
        <v>1512</v>
      </c>
      <c r="M32" s="131" t="s">
        <v>1513</v>
      </c>
      <c r="N32" s="131" t="s">
        <v>1486</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1104</v>
      </c>
      <c r="B33" s="131" t="s">
        <v>1512</v>
      </c>
      <c r="C33" s="131" t="s">
        <v>1087</v>
      </c>
      <c r="D33" s="131" t="s">
        <v>1564</v>
      </c>
      <c r="E33" s="131" t="s">
        <v>1512</v>
      </c>
      <c r="M33" s="131" t="s">
        <v>1513</v>
      </c>
      <c r="N33" s="131" t="s">
        <v>1486</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1104</v>
      </c>
      <c r="B34" s="131" t="s">
        <v>1512</v>
      </c>
      <c r="C34" s="131" t="s">
        <v>1087</v>
      </c>
      <c r="D34" s="131" t="s">
        <v>1564</v>
      </c>
      <c r="E34" s="131" t="s">
        <v>1512</v>
      </c>
      <c r="M34" s="131" t="s">
        <v>1513</v>
      </c>
      <c r="N34" s="131" t="s">
        <v>1486</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1105</v>
      </c>
      <c r="B35" s="131" t="s">
        <v>1515</v>
      </c>
      <c r="C35" s="131" t="s">
        <v>1087</v>
      </c>
      <c r="D35" s="131" t="s">
        <v>1564</v>
      </c>
      <c r="E35" s="131" t="s">
        <v>1514</v>
      </c>
      <c r="F35" s="131" t="s">
        <v>1515</v>
      </c>
      <c r="M35" s="131" t="s">
        <v>1516</v>
      </c>
      <c r="N35" s="131" t="s">
        <v>1486</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1105</v>
      </c>
      <c r="B36" s="131" t="s">
        <v>1515</v>
      </c>
      <c r="C36" s="131" t="s">
        <v>1087</v>
      </c>
      <c r="D36" s="131" t="s">
        <v>1564</v>
      </c>
      <c r="E36" s="131" t="s">
        <v>1514</v>
      </c>
      <c r="F36" s="131" t="s">
        <v>1515</v>
      </c>
      <c r="M36" s="131" t="s">
        <v>1516</v>
      </c>
      <c r="N36" s="131" t="s">
        <v>1486</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1105</v>
      </c>
      <c r="B37" s="131" t="s">
        <v>1515</v>
      </c>
      <c r="C37" s="131" t="s">
        <v>1087</v>
      </c>
      <c r="D37" s="131" t="s">
        <v>1564</v>
      </c>
      <c r="E37" s="131" t="s">
        <v>1514</v>
      </c>
      <c r="F37" s="131" t="s">
        <v>1515</v>
      </c>
      <c r="M37" s="131" t="s">
        <v>1516</v>
      </c>
      <c r="N37" s="131" t="s">
        <v>1486</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1105</v>
      </c>
      <c r="B38" s="131" t="s">
        <v>1515</v>
      </c>
      <c r="C38" s="131" t="s">
        <v>1087</v>
      </c>
      <c r="D38" s="131" t="s">
        <v>1564</v>
      </c>
      <c r="E38" s="131" t="s">
        <v>1514</v>
      </c>
      <c r="F38" s="131" t="s">
        <v>1515</v>
      </c>
      <c r="M38" s="131" t="s">
        <v>1516</v>
      </c>
      <c r="N38" s="131" t="s">
        <v>1486</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1105</v>
      </c>
      <c r="B39" s="131" t="s">
        <v>1517</v>
      </c>
      <c r="C39" s="131" t="s">
        <v>1087</v>
      </c>
      <c r="D39" s="131" t="s">
        <v>1564</v>
      </c>
      <c r="E39" s="131" t="s">
        <v>1514</v>
      </c>
      <c r="F39" s="131" t="s">
        <v>1517</v>
      </c>
      <c r="M39" s="131" t="s">
        <v>1518</v>
      </c>
      <c r="N39" s="131" t="s">
        <v>1337</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1105</v>
      </c>
      <c r="B40" s="131" t="s">
        <v>1517</v>
      </c>
      <c r="C40" s="131" t="s">
        <v>1087</v>
      </c>
      <c r="D40" s="131" t="s">
        <v>1564</v>
      </c>
      <c r="E40" s="131" t="s">
        <v>1514</v>
      </c>
      <c r="F40" s="131" t="s">
        <v>1517</v>
      </c>
      <c r="M40" s="131" t="s">
        <v>1518</v>
      </c>
      <c r="N40" s="131" t="s">
        <v>1334</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1105</v>
      </c>
      <c r="B41" s="131" t="s">
        <v>1517</v>
      </c>
      <c r="C41" s="131" t="s">
        <v>1087</v>
      </c>
      <c r="D41" s="131" t="s">
        <v>1564</v>
      </c>
      <c r="E41" s="131" t="s">
        <v>1514</v>
      </c>
      <c r="F41" s="131" t="s">
        <v>1517</v>
      </c>
      <c r="M41" s="131" t="s">
        <v>1518</v>
      </c>
      <c r="N41" s="131" t="s">
        <v>1337</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1105</v>
      </c>
      <c r="B42" s="131" t="s">
        <v>1517</v>
      </c>
      <c r="C42" s="131" t="s">
        <v>1087</v>
      </c>
      <c r="D42" s="131" t="s">
        <v>1564</v>
      </c>
      <c r="E42" s="131" t="s">
        <v>1514</v>
      </c>
      <c r="F42" s="131" t="s">
        <v>1517</v>
      </c>
      <c r="M42" s="131" t="s">
        <v>1518</v>
      </c>
      <c r="N42" s="131" t="s">
        <v>1334</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1105</v>
      </c>
      <c r="B43" s="131" t="s">
        <v>1517</v>
      </c>
      <c r="C43" s="131" t="s">
        <v>1087</v>
      </c>
      <c r="D43" s="131" t="s">
        <v>1564</v>
      </c>
      <c r="E43" s="131" t="s">
        <v>1514</v>
      </c>
      <c r="F43" s="131" t="s">
        <v>1517</v>
      </c>
      <c r="M43" s="131" t="s">
        <v>1518</v>
      </c>
      <c r="N43" s="131" t="s">
        <v>1337</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1105</v>
      </c>
      <c r="B44" s="131" t="s">
        <v>1517</v>
      </c>
      <c r="C44" s="131" t="s">
        <v>1087</v>
      </c>
      <c r="D44" s="131" t="s">
        <v>1564</v>
      </c>
      <c r="E44" s="131" t="s">
        <v>1514</v>
      </c>
      <c r="F44" s="131" t="s">
        <v>1517</v>
      </c>
      <c r="M44" s="131" t="s">
        <v>1518</v>
      </c>
      <c r="N44" s="131" t="s">
        <v>1334</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1105</v>
      </c>
      <c r="B45" s="131" t="s">
        <v>1517</v>
      </c>
      <c r="C45" s="131" t="s">
        <v>1087</v>
      </c>
      <c r="D45" s="131" t="s">
        <v>1564</v>
      </c>
      <c r="E45" s="131" t="s">
        <v>1514</v>
      </c>
      <c r="F45" s="131" t="s">
        <v>1517</v>
      </c>
      <c r="M45" s="131" t="s">
        <v>1518</v>
      </c>
      <c r="N45" s="131" t="s">
        <v>1337</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1105</v>
      </c>
      <c r="B46" s="131" t="s">
        <v>1517</v>
      </c>
      <c r="C46" s="131" t="s">
        <v>1087</v>
      </c>
      <c r="D46" s="131" t="s">
        <v>1564</v>
      </c>
      <c r="E46" s="131" t="s">
        <v>1514</v>
      </c>
      <c r="F46" s="131" t="s">
        <v>1517</v>
      </c>
      <c r="M46" s="131" t="s">
        <v>1518</v>
      </c>
      <c r="N46" s="131" t="s">
        <v>1334</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1104</v>
      </c>
      <c r="B47" s="131" t="s">
        <v>1519</v>
      </c>
      <c r="C47" s="131" t="s">
        <v>1087</v>
      </c>
      <c r="D47" s="131" t="s">
        <v>1565</v>
      </c>
      <c r="E47" s="131" t="s">
        <v>1519</v>
      </c>
      <c r="M47" s="131" t="s">
        <v>1520</v>
      </c>
      <c r="N47" s="131" t="s">
        <v>1486</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1104</v>
      </c>
      <c r="B48" s="131" t="s">
        <v>1519</v>
      </c>
      <c r="C48" s="131" t="s">
        <v>1087</v>
      </c>
      <c r="D48" s="131" t="s">
        <v>1565</v>
      </c>
      <c r="E48" s="131" t="s">
        <v>1519</v>
      </c>
      <c r="M48" s="131" t="s">
        <v>1520</v>
      </c>
      <c r="N48" s="131" t="s">
        <v>1486</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1104</v>
      </c>
      <c r="B49" s="131" t="s">
        <v>1519</v>
      </c>
      <c r="C49" s="131" t="s">
        <v>1087</v>
      </c>
      <c r="D49" s="131" t="s">
        <v>1565</v>
      </c>
      <c r="E49" s="131" t="s">
        <v>1519</v>
      </c>
      <c r="M49" s="131" t="s">
        <v>1520</v>
      </c>
      <c r="N49" s="131" t="s">
        <v>1486</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1105</v>
      </c>
      <c r="B50" s="131" t="s">
        <v>1522</v>
      </c>
      <c r="C50" s="131" t="s">
        <v>1087</v>
      </c>
      <c r="D50" s="131" t="s">
        <v>1565</v>
      </c>
      <c r="E50" s="131" t="s">
        <v>1521</v>
      </c>
      <c r="F50" s="131" t="s">
        <v>1522</v>
      </c>
      <c r="M50" s="131" t="s">
        <v>1523</v>
      </c>
      <c r="N50" s="131" t="s">
        <v>1486</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1105</v>
      </c>
      <c r="B51" s="131" t="s">
        <v>1522</v>
      </c>
      <c r="C51" s="131" t="s">
        <v>1087</v>
      </c>
      <c r="D51" s="131" t="s">
        <v>1565</v>
      </c>
      <c r="E51" s="131" t="s">
        <v>1521</v>
      </c>
      <c r="F51" s="131" t="s">
        <v>1522</v>
      </c>
      <c r="M51" s="131" t="s">
        <v>1523</v>
      </c>
      <c r="N51" s="131" t="s">
        <v>1486</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1105</v>
      </c>
      <c r="B52" s="131" t="s">
        <v>1524</v>
      </c>
      <c r="C52" s="131" t="s">
        <v>1087</v>
      </c>
      <c r="D52" s="131" t="s">
        <v>1565</v>
      </c>
      <c r="E52" s="131" t="s">
        <v>1521</v>
      </c>
      <c r="F52" s="131" t="s">
        <v>1524</v>
      </c>
      <c r="M52" s="131" t="s">
        <v>1525</v>
      </c>
      <c r="N52" s="131" t="s">
        <v>1486</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1105</v>
      </c>
      <c r="B53" s="131" t="s">
        <v>1524</v>
      </c>
      <c r="C53" s="131" t="s">
        <v>1087</v>
      </c>
      <c r="D53" s="131" t="s">
        <v>1565</v>
      </c>
      <c r="E53" s="131" t="s">
        <v>1521</v>
      </c>
      <c r="F53" s="131" t="s">
        <v>1524</v>
      </c>
      <c r="M53" s="131" t="s">
        <v>1525</v>
      </c>
      <c r="N53" s="131" t="s">
        <v>1486</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1105</v>
      </c>
      <c r="B54" s="131" t="s">
        <v>1526</v>
      </c>
      <c r="C54" s="131" t="s">
        <v>1087</v>
      </c>
      <c r="D54" s="131" t="s">
        <v>1565</v>
      </c>
      <c r="E54" s="131" t="s">
        <v>1521</v>
      </c>
      <c r="F54" s="131" t="s">
        <v>1526</v>
      </c>
      <c r="M54" s="131" t="s">
        <v>1527</v>
      </c>
      <c r="N54" s="131" t="s">
        <v>1486</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1105</v>
      </c>
      <c r="B55" s="131" t="s">
        <v>1526</v>
      </c>
      <c r="C55" s="131" t="s">
        <v>1087</v>
      </c>
      <c r="D55" s="131" t="s">
        <v>1565</v>
      </c>
      <c r="E55" s="131" t="s">
        <v>1521</v>
      </c>
      <c r="F55" s="131" t="s">
        <v>1526</v>
      </c>
      <c r="M55" s="131" t="s">
        <v>1527</v>
      </c>
      <c r="N55" s="131" t="s">
        <v>1486</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1105</v>
      </c>
      <c r="B56" s="131" t="s">
        <v>1526</v>
      </c>
      <c r="C56" s="131" t="s">
        <v>1087</v>
      </c>
      <c r="D56" s="131" t="s">
        <v>1565</v>
      </c>
      <c r="E56" s="131" t="s">
        <v>1521</v>
      </c>
      <c r="F56" s="131" t="s">
        <v>1526</v>
      </c>
      <c r="M56" s="131" t="s">
        <v>1527</v>
      </c>
      <c r="N56" s="131" t="s">
        <v>1486</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1104</v>
      </c>
      <c r="B57" s="131" t="s">
        <v>1528</v>
      </c>
      <c r="C57" s="131" t="s">
        <v>1087</v>
      </c>
      <c r="D57" s="131" t="s">
        <v>1565</v>
      </c>
      <c r="E57" s="131" t="s">
        <v>1528</v>
      </c>
      <c r="M57" s="131" t="s">
        <v>1529</v>
      </c>
      <c r="N57" s="131" t="s">
        <v>1486</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1105</v>
      </c>
      <c r="B58" s="131" t="s">
        <v>1531</v>
      </c>
      <c r="C58" s="131" t="s">
        <v>1087</v>
      </c>
      <c r="D58" s="131" t="s">
        <v>1566</v>
      </c>
      <c r="E58" s="131" t="s">
        <v>1530</v>
      </c>
      <c r="F58" s="131" t="s">
        <v>1531</v>
      </c>
      <c r="M58" s="131" t="s">
        <v>1532</v>
      </c>
      <c r="N58" s="131" t="s">
        <v>1486</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1107</v>
      </c>
      <c r="B59" s="131" t="s">
        <v>1535</v>
      </c>
      <c r="C59" s="131" t="s">
        <v>1087</v>
      </c>
      <c r="D59" s="131" t="s">
        <v>1566</v>
      </c>
      <c r="E59" s="131" t="s">
        <v>1530</v>
      </c>
      <c r="F59" s="131" t="s">
        <v>1533</v>
      </c>
      <c r="G59" s="131" t="s">
        <v>1534</v>
      </c>
      <c r="H59" s="131" t="s">
        <v>1535</v>
      </c>
      <c r="M59" s="131" t="s">
        <v>1536</v>
      </c>
      <c r="N59" s="131" t="s">
        <v>1486</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1107</v>
      </c>
      <c r="B60" s="131" t="s">
        <v>1537</v>
      </c>
      <c r="C60" s="131" t="s">
        <v>1087</v>
      </c>
      <c r="D60" s="131" t="s">
        <v>1566</v>
      </c>
      <c r="E60" s="131" t="s">
        <v>1530</v>
      </c>
      <c r="F60" s="131" t="s">
        <v>1533</v>
      </c>
      <c r="G60" s="131" t="s">
        <v>1534</v>
      </c>
      <c r="H60" s="131" t="s">
        <v>1537</v>
      </c>
      <c r="M60" s="131" t="s">
        <v>1538</v>
      </c>
      <c r="N60" s="131" t="s">
        <v>1486</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1107</v>
      </c>
      <c r="B61" s="131" t="s">
        <v>1539</v>
      </c>
      <c r="C61" s="131" t="s">
        <v>1087</v>
      </c>
      <c r="D61" s="131" t="s">
        <v>1566</v>
      </c>
      <c r="E61" s="131" t="s">
        <v>1530</v>
      </c>
      <c r="F61" s="131" t="s">
        <v>1533</v>
      </c>
      <c r="G61" s="131" t="s">
        <v>1534</v>
      </c>
      <c r="H61" s="131" t="s">
        <v>1539</v>
      </c>
      <c r="M61" s="131" t="s">
        <v>1540</v>
      </c>
      <c r="N61" s="131" t="s">
        <v>1486</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1107</v>
      </c>
      <c r="B62" s="131" t="s">
        <v>1539</v>
      </c>
      <c r="C62" s="131" t="s">
        <v>1087</v>
      </c>
      <c r="D62" s="131" t="s">
        <v>1566</v>
      </c>
      <c r="E62" s="131" t="s">
        <v>1530</v>
      </c>
      <c r="F62" s="131" t="s">
        <v>1533</v>
      </c>
      <c r="G62" s="131" t="s">
        <v>1534</v>
      </c>
      <c r="H62" s="131" t="s">
        <v>1539</v>
      </c>
      <c r="M62" s="131" t="s">
        <v>1540</v>
      </c>
      <c r="N62" s="131" t="s">
        <v>1486</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1106</v>
      </c>
      <c r="B63" s="131" t="s">
        <v>1541</v>
      </c>
      <c r="C63" s="131" t="s">
        <v>1087</v>
      </c>
      <c r="D63" s="131" t="s">
        <v>1566</v>
      </c>
      <c r="E63" s="131" t="s">
        <v>1530</v>
      </c>
      <c r="F63" s="131" t="s">
        <v>1533</v>
      </c>
      <c r="G63" s="131" t="s">
        <v>1541</v>
      </c>
      <c r="M63" s="131" t="s">
        <v>1542</v>
      </c>
      <c r="N63" s="131" t="s">
        <v>1486</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1106</v>
      </c>
      <c r="B64" s="131" t="s">
        <v>1541</v>
      </c>
      <c r="C64" s="131" t="s">
        <v>1087</v>
      </c>
      <c r="D64" s="131" t="s">
        <v>1566</v>
      </c>
      <c r="E64" s="131" t="s">
        <v>1530</v>
      </c>
      <c r="F64" s="131" t="s">
        <v>1533</v>
      </c>
      <c r="G64" s="131" t="s">
        <v>1541</v>
      </c>
      <c r="M64" s="131" t="s">
        <v>1542</v>
      </c>
      <c r="N64" s="131" t="s">
        <v>1486</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1106</v>
      </c>
      <c r="B65" s="131" t="s">
        <v>1541</v>
      </c>
      <c r="C65" s="131" t="s">
        <v>1087</v>
      </c>
      <c r="D65" s="131" t="s">
        <v>1566</v>
      </c>
      <c r="E65" s="131" t="s">
        <v>1530</v>
      </c>
      <c r="F65" s="131" t="s">
        <v>1533</v>
      </c>
      <c r="G65" s="131" t="s">
        <v>1541</v>
      </c>
      <c r="M65" s="131" t="s">
        <v>1542</v>
      </c>
      <c r="N65" s="131" t="s">
        <v>1486</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1106</v>
      </c>
      <c r="B66" s="131" t="s">
        <v>1541</v>
      </c>
      <c r="C66" s="131" t="s">
        <v>1087</v>
      </c>
      <c r="D66" s="131" t="s">
        <v>1566</v>
      </c>
      <c r="E66" s="131" t="s">
        <v>1530</v>
      </c>
      <c r="F66" s="131" t="s">
        <v>1533</v>
      </c>
      <c r="G66" s="131" t="s">
        <v>1541</v>
      </c>
      <c r="M66" s="131" t="s">
        <v>1542</v>
      </c>
      <c r="N66" s="131" t="s">
        <v>1486</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1106</v>
      </c>
      <c r="B67" s="131" t="s">
        <v>1541</v>
      </c>
      <c r="C67" s="131" t="s">
        <v>1087</v>
      </c>
      <c r="D67" s="131" t="s">
        <v>1566</v>
      </c>
      <c r="E67" s="131" t="s">
        <v>1530</v>
      </c>
      <c r="F67" s="131" t="s">
        <v>1533</v>
      </c>
      <c r="G67" s="131" t="s">
        <v>1541</v>
      </c>
      <c r="M67" s="131" t="s">
        <v>1542</v>
      </c>
      <c r="N67" s="131" t="s">
        <v>1486</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1106</v>
      </c>
      <c r="B68" s="131" t="s">
        <v>1541</v>
      </c>
      <c r="C68" s="131" t="s">
        <v>1087</v>
      </c>
      <c r="D68" s="131" t="s">
        <v>1566</v>
      </c>
      <c r="E68" s="131" t="s">
        <v>1530</v>
      </c>
      <c r="F68" s="131" t="s">
        <v>1533</v>
      </c>
      <c r="G68" s="131" t="s">
        <v>1541</v>
      </c>
      <c r="M68" s="131" t="s">
        <v>1542</v>
      </c>
      <c r="N68" s="131" t="s">
        <v>1486</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1106</v>
      </c>
      <c r="B69" s="131" t="s">
        <v>1541</v>
      </c>
      <c r="C69" s="131" t="s">
        <v>1087</v>
      </c>
      <c r="D69" s="131" t="s">
        <v>1566</v>
      </c>
      <c r="E69" s="131" t="s">
        <v>1530</v>
      </c>
      <c r="F69" s="131" t="s">
        <v>1533</v>
      </c>
      <c r="G69" s="131" t="s">
        <v>1541</v>
      </c>
      <c r="M69" s="131" t="s">
        <v>1542</v>
      </c>
      <c r="N69" s="131" t="s">
        <v>1486</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1106</v>
      </c>
      <c r="B70" s="131" t="s">
        <v>1541</v>
      </c>
      <c r="C70" s="131" t="s">
        <v>1087</v>
      </c>
      <c r="D70" s="131" t="s">
        <v>1566</v>
      </c>
      <c r="E70" s="131" t="s">
        <v>1530</v>
      </c>
      <c r="F70" s="131" t="s">
        <v>1533</v>
      </c>
      <c r="G70" s="131" t="s">
        <v>1541</v>
      </c>
      <c r="M70" s="131" t="s">
        <v>1542</v>
      </c>
      <c r="N70" s="131" t="s">
        <v>1486</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1106</v>
      </c>
      <c r="B71" s="131" t="s">
        <v>1541</v>
      </c>
      <c r="C71" s="131" t="s">
        <v>1087</v>
      </c>
      <c r="D71" s="131" t="s">
        <v>1566</v>
      </c>
      <c r="E71" s="131" t="s">
        <v>1530</v>
      </c>
      <c r="F71" s="131" t="s">
        <v>1533</v>
      </c>
      <c r="G71" s="131" t="s">
        <v>1541</v>
      </c>
      <c r="M71" s="131" t="s">
        <v>1542</v>
      </c>
      <c r="N71" s="131" t="s">
        <v>1486</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1106</v>
      </c>
      <c r="B72" s="131" t="s">
        <v>1543</v>
      </c>
      <c r="C72" s="131" t="s">
        <v>1087</v>
      </c>
      <c r="D72" s="131" t="s">
        <v>1566</v>
      </c>
      <c r="E72" s="131" t="s">
        <v>1530</v>
      </c>
      <c r="F72" s="131" t="s">
        <v>1533</v>
      </c>
      <c r="G72" s="131" t="s">
        <v>1543</v>
      </c>
      <c r="M72" s="131" t="s">
        <v>1544</v>
      </c>
      <c r="N72" s="131" t="s">
        <v>1486</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1106</v>
      </c>
      <c r="B73" s="131" t="s">
        <v>1543</v>
      </c>
      <c r="C73" s="131" t="s">
        <v>1087</v>
      </c>
      <c r="D73" s="131" t="s">
        <v>1566</v>
      </c>
      <c r="E73" s="131" t="s">
        <v>1530</v>
      </c>
      <c r="F73" s="131" t="s">
        <v>1533</v>
      </c>
      <c r="G73" s="131" t="s">
        <v>1543</v>
      </c>
      <c r="M73" s="131" t="s">
        <v>1544</v>
      </c>
      <c r="N73" s="131" t="s">
        <v>1486</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1106</v>
      </c>
      <c r="B74" s="131" t="s">
        <v>1543</v>
      </c>
      <c r="C74" s="131" t="s">
        <v>1087</v>
      </c>
      <c r="D74" s="131" t="s">
        <v>1566</v>
      </c>
      <c r="E74" s="131" t="s">
        <v>1530</v>
      </c>
      <c r="F74" s="131" t="s">
        <v>1533</v>
      </c>
      <c r="G74" s="131" t="s">
        <v>1543</v>
      </c>
      <c r="M74" s="131" t="s">
        <v>1544</v>
      </c>
      <c r="N74" s="131" t="s">
        <v>1486</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1106</v>
      </c>
      <c r="B75" s="131" t="s">
        <v>1543</v>
      </c>
      <c r="C75" s="131" t="s">
        <v>1087</v>
      </c>
      <c r="D75" s="131" t="s">
        <v>1566</v>
      </c>
      <c r="E75" s="131" t="s">
        <v>1530</v>
      </c>
      <c r="F75" s="131" t="s">
        <v>1533</v>
      </c>
      <c r="G75" s="131" t="s">
        <v>1543</v>
      </c>
      <c r="M75" s="131" t="s">
        <v>1544</v>
      </c>
      <c r="N75" s="131" t="s">
        <v>1486</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1106</v>
      </c>
      <c r="B76" s="131" t="s">
        <v>1543</v>
      </c>
      <c r="C76" s="131" t="s">
        <v>1087</v>
      </c>
      <c r="D76" s="131" t="s">
        <v>1566</v>
      </c>
      <c r="E76" s="131" t="s">
        <v>1530</v>
      </c>
      <c r="F76" s="131" t="s">
        <v>1533</v>
      </c>
      <c r="G76" s="131" t="s">
        <v>1543</v>
      </c>
      <c r="M76" s="131" t="s">
        <v>1544</v>
      </c>
      <c r="N76" s="131" t="s">
        <v>1486</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1106</v>
      </c>
      <c r="B77" s="131" t="s">
        <v>1543</v>
      </c>
      <c r="C77" s="131" t="s">
        <v>1087</v>
      </c>
      <c r="D77" s="131" t="s">
        <v>1566</v>
      </c>
      <c r="E77" s="131" t="s">
        <v>1530</v>
      </c>
      <c r="F77" s="131" t="s">
        <v>1533</v>
      </c>
      <c r="G77" s="131" t="s">
        <v>1543</v>
      </c>
      <c r="M77" s="131" t="s">
        <v>1544</v>
      </c>
      <c r="N77" s="131" t="s">
        <v>1486</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1106</v>
      </c>
      <c r="B78" s="131" t="s">
        <v>1543</v>
      </c>
      <c r="C78" s="131" t="s">
        <v>1087</v>
      </c>
      <c r="D78" s="131" t="s">
        <v>1566</v>
      </c>
      <c r="E78" s="131" t="s">
        <v>1530</v>
      </c>
      <c r="F78" s="131" t="s">
        <v>1533</v>
      </c>
      <c r="G78" s="131" t="s">
        <v>1543</v>
      </c>
      <c r="M78" s="131" t="s">
        <v>1544</v>
      </c>
      <c r="N78" s="131" t="s">
        <v>1486</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1106</v>
      </c>
      <c r="B79" s="131" t="s">
        <v>1543</v>
      </c>
      <c r="C79" s="131" t="s">
        <v>1087</v>
      </c>
      <c r="D79" s="131" t="s">
        <v>1566</v>
      </c>
      <c r="E79" s="131" t="s">
        <v>1530</v>
      </c>
      <c r="F79" s="131" t="s">
        <v>1533</v>
      </c>
      <c r="G79" s="131" t="s">
        <v>1543</v>
      </c>
      <c r="M79" s="131" t="s">
        <v>1544</v>
      </c>
      <c r="N79" s="131" t="s">
        <v>1486</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1106</v>
      </c>
      <c r="B80" s="131" t="s">
        <v>1543</v>
      </c>
      <c r="C80" s="131" t="s">
        <v>1087</v>
      </c>
      <c r="D80" s="131" t="s">
        <v>1566</v>
      </c>
      <c r="E80" s="131" t="s">
        <v>1530</v>
      </c>
      <c r="F80" s="131" t="s">
        <v>1533</v>
      </c>
      <c r="G80" s="131" t="s">
        <v>1543</v>
      </c>
      <c r="M80" s="131" t="s">
        <v>1544</v>
      </c>
      <c r="N80" s="131" t="s">
        <v>1486</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1106</v>
      </c>
      <c r="B81" s="131" t="s">
        <v>1545</v>
      </c>
      <c r="C81" s="131" t="s">
        <v>1087</v>
      </c>
      <c r="D81" s="131" t="s">
        <v>1566</v>
      </c>
      <c r="E81" s="131" t="s">
        <v>1530</v>
      </c>
      <c r="F81" s="131" t="s">
        <v>1533</v>
      </c>
      <c r="G81" s="131" t="s">
        <v>1545</v>
      </c>
      <c r="M81" s="131" t="s">
        <v>1546</v>
      </c>
      <c r="N81" s="131" t="s">
        <v>1486</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1106</v>
      </c>
      <c r="B82" s="131" t="s">
        <v>1545</v>
      </c>
      <c r="C82" s="131" t="s">
        <v>1087</v>
      </c>
      <c r="D82" s="131" t="s">
        <v>1566</v>
      </c>
      <c r="E82" s="131" t="s">
        <v>1530</v>
      </c>
      <c r="F82" s="131" t="s">
        <v>1533</v>
      </c>
      <c r="G82" s="131" t="s">
        <v>1545</v>
      </c>
      <c r="M82" s="131" t="s">
        <v>1546</v>
      </c>
      <c r="N82" s="131" t="s">
        <v>1486</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1106</v>
      </c>
      <c r="B83" s="131" t="s">
        <v>1545</v>
      </c>
      <c r="C83" s="131" t="s">
        <v>1087</v>
      </c>
      <c r="D83" s="131" t="s">
        <v>1566</v>
      </c>
      <c r="E83" s="131" t="s">
        <v>1530</v>
      </c>
      <c r="F83" s="131" t="s">
        <v>1533</v>
      </c>
      <c r="G83" s="131" t="s">
        <v>1545</v>
      </c>
      <c r="M83" s="131" t="s">
        <v>1546</v>
      </c>
      <c r="N83" s="131" t="s">
        <v>1486</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1106</v>
      </c>
      <c r="B84" s="131" t="s">
        <v>1545</v>
      </c>
      <c r="C84" s="131" t="s">
        <v>1087</v>
      </c>
      <c r="D84" s="131" t="s">
        <v>1566</v>
      </c>
      <c r="E84" s="131" t="s">
        <v>1530</v>
      </c>
      <c r="F84" s="131" t="s">
        <v>1533</v>
      </c>
      <c r="G84" s="131" t="s">
        <v>1545</v>
      </c>
      <c r="M84" s="131" t="s">
        <v>1546</v>
      </c>
      <c r="N84" s="131" t="s">
        <v>1486</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1106</v>
      </c>
      <c r="B85" s="131" t="s">
        <v>1545</v>
      </c>
      <c r="C85" s="131" t="s">
        <v>1087</v>
      </c>
      <c r="D85" s="131" t="s">
        <v>1566</v>
      </c>
      <c r="E85" s="131" t="s">
        <v>1530</v>
      </c>
      <c r="F85" s="131" t="s">
        <v>1533</v>
      </c>
      <c r="G85" s="131" t="s">
        <v>1545</v>
      </c>
      <c r="M85" s="131" t="s">
        <v>1546</v>
      </c>
      <c r="N85" s="131" t="s">
        <v>1486</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1106</v>
      </c>
      <c r="B86" s="131" t="s">
        <v>1545</v>
      </c>
      <c r="C86" s="131" t="s">
        <v>1087</v>
      </c>
      <c r="D86" s="131" t="s">
        <v>1566</v>
      </c>
      <c r="E86" s="131" t="s">
        <v>1530</v>
      </c>
      <c r="F86" s="131" t="s">
        <v>1533</v>
      </c>
      <c r="G86" s="131" t="s">
        <v>1545</v>
      </c>
      <c r="M86" s="131" t="s">
        <v>1546</v>
      </c>
      <c r="N86" s="131" t="s">
        <v>1486</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1106</v>
      </c>
      <c r="B87" s="131" t="s">
        <v>1545</v>
      </c>
      <c r="C87" s="131" t="s">
        <v>1087</v>
      </c>
      <c r="D87" s="131" t="s">
        <v>1566</v>
      </c>
      <c r="E87" s="131" t="s">
        <v>1530</v>
      </c>
      <c r="F87" s="131" t="s">
        <v>1533</v>
      </c>
      <c r="G87" s="131" t="s">
        <v>1545</v>
      </c>
      <c r="M87" s="131" t="s">
        <v>1546</v>
      </c>
      <c r="N87" s="131" t="s">
        <v>1486</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1105</v>
      </c>
      <c r="B88" s="131" t="s">
        <v>1548</v>
      </c>
      <c r="C88" s="131" t="s">
        <v>1087</v>
      </c>
      <c r="D88" s="131" t="s">
        <v>1566</v>
      </c>
      <c r="E88" s="131" t="s">
        <v>1547</v>
      </c>
      <c r="F88" s="131" t="s">
        <v>1548</v>
      </c>
      <c r="M88" s="131" t="s">
        <v>1549</v>
      </c>
      <c r="N88" s="131" t="s">
        <v>1486</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1105</v>
      </c>
      <c r="B89" s="131" t="s">
        <v>1548</v>
      </c>
      <c r="C89" s="131" t="s">
        <v>1087</v>
      </c>
      <c r="D89" s="131" t="s">
        <v>1566</v>
      </c>
      <c r="E89" s="131" t="s">
        <v>1547</v>
      </c>
      <c r="F89" s="131" t="s">
        <v>1548</v>
      </c>
      <c r="M89" s="131" t="s">
        <v>1549</v>
      </c>
      <c r="N89" s="131" t="s">
        <v>1486</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1105</v>
      </c>
      <c r="B90" s="131" t="s">
        <v>1548</v>
      </c>
      <c r="C90" s="131" t="s">
        <v>1087</v>
      </c>
      <c r="D90" s="131" t="s">
        <v>1566</v>
      </c>
      <c r="E90" s="131" t="s">
        <v>1547</v>
      </c>
      <c r="F90" s="131" t="s">
        <v>1548</v>
      </c>
      <c r="M90" s="131" t="s">
        <v>1549</v>
      </c>
      <c r="N90" s="131" t="s">
        <v>1486</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1105</v>
      </c>
      <c r="B91" s="131" t="s">
        <v>1550</v>
      </c>
      <c r="C91" s="131" t="s">
        <v>1087</v>
      </c>
      <c r="D91" s="131" t="s">
        <v>1566</v>
      </c>
      <c r="E91" s="131" t="s">
        <v>1547</v>
      </c>
      <c r="F91" s="131" t="s">
        <v>1550</v>
      </c>
      <c r="M91" s="131" t="s">
        <v>1551</v>
      </c>
      <c r="N91" s="131" t="s">
        <v>1486</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1105</v>
      </c>
      <c r="B92" s="131" t="s">
        <v>1553</v>
      </c>
      <c r="C92" s="131" t="s">
        <v>1087</v>
      </c>
      <c r="D92" s="131" t="s">
        <v>1567</v>
      </c>
      <c r="E92" s="131" t="s">
        <v>1552</v>
      </c>
      <c r="F92" s="131" t="s">
        <v>1553</v>
      </c>
      <c r="M92" s="131" t="s">
        <v>1554</v>
      </c>
      <c r="N92" s="131" t="s">
        <v>1486</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1105</v>
      </c>
      <c r="B93" s="131" t="s">
        <v>1556</v>
      </c>
      <c r="C93" s="131" t="s">
        <v>1087</v>
      </c>
      <c r="D93" s="131" t="s">
        <v>1567</v>
      </c>
      <c r="E93" s="131" t="s">
        <v>1555</v>
      </c>
      <c r="F93" s="131" t="s">
        <v>1556</v>
      </c>
      <c r="M93" s="131" t="s">
        <v>1557</v>
      </c>
      <c r="N93" s="131" t="s">
        <v>1486</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1105</v>
      </c>
      <c r="B94" s="131" t="s">
        <v>1558</v>
      </c>
      <c r="C94" s="131" t="s">
        <v>1087</v>
      </c>
      <c r="D94" s="131" t="s">
        <v>1567</v>
      </c>
      <c r="E94" s="131" t="s">
        <v>1555</v>
      </c>
      <c r="F94" s="131" t="s">
        <v>1558</v>
      </c>
      <c r="M94" s="131" t="s">
        <v>1559</v>
      </c>
      <c r="N94" s="131" t="s">
        <v>1486</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1105</v>
      </c>
      <c r="B95" s="131" t="s">
        <v>1560</v>
      </c>
      <c r="C95" s="131" t="s">
        <v>1087</v>
      </c>
      <c r="D95" s="131" t="s">
        <v>1567</v>
      </c>
      <c r="E95" s="131" t="s">
        <v>1555</v>
      </c>
      <c r="F95" s="131" t="s">
        <v>1560</v>
      </c>
      <c r="M95" s="131" t="s">
        <v>1561</v>
      </c>
      <c r="N95" s="131" t="s">
        <v>1486</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1105</v>
      </c>
      <c r="B96" s="131" t="s">
        <v>1562</v>
      </c>
      <c r="C96" s="131" t="s">
        <v>1087</v>
      </c>
      <c r="D96" s="131" t="s">
        <v>1567</v>
      </c>
      <c r="E96" s="131" t="s">
        <v>1555</v>
      </c>
      <c r="F96" s="131" t="s">
        <v>1562</v>
      </c>
      <c r="M96" s="131" t="s">
        <v>1563</v>
      </c>
      <c r="N96" s="131" t="s">
        <v>1486</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1411</v>
      </c>
      <c r="J1" s="137" t="s">
        <v>558</v>
      </c>
      <c r="K1" s="137" t="s">
        <v>1309</v>
      </c>
      <c r="L1" s="94" t="s">
        <v>123</v>
      </c>
      <c r="M1" s="94" t="s">
        <v>1410</v>
      </c>
      <c r="N1" s="137" t="s">
        <v>1414</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2"/>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오강산</cp:lastModifiedBy>
  <cp:lastPrinted>2021-01-01T13:36:29Z</cp:lastPrinted>
  <dcterms:created xsi:type="dcterms:W3CDTF">2018-02-18T09:45:14Z</dcterms:created>
  <dcterms:modified xsi:type="dcterms:W3CDTF">2022-02-02T08:45:01Z</dcterms:modified>
</cp:coreProperties>
</file>